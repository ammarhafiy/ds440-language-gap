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8B86CDD-DB6D-4961-AB74-60EE09C30A5D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How to use" sheetId="1" r:id="rId1"/>
    <sheet name="Wikidata" sheetId="2" r:id="rId2"/>
    <sheet name="MKQA kept" sheetId="3" r:id="rId3"/>
    <sheet name="MKQA rejected sample" sheetId="4" r:id="rId4"/>
  </sheets>
  <definedNames>
    <definedName name="_xlnm._FilterDatabase" localSheetId="2" hidden="1">'MKQA kept'!$A$1:$L$89</definedName>
    <definedName name="_xlnm._FilterDatabase" localSheetId="3" hidden="1">'MKQA rejected sample'!$A$1:$H$31</definedName>
    <definedName name="_xlnm._FilterDatabase" localSheetId="1" hidden="1">Wikidata!$A$1:$L$21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1" l="1"/>
  <c r="B19" i="1"/>
  <c r="D19" i="1" s="1"/>
  <c r="C18" i="1"/>
  <c r="B18" i="1"/>
  <c r="D18" i="1" s="1"/>
  <c r="C17" i="1"/>
  <c r="B17" i="1"/>
  <c r="D17" i="1" s="1"/>
  <c r="C16" i="1"/>
  <c r="B16" i="1"/>
  <c r="D16" i="1" s="1"/>
</calcChain>
</file>

<file path=xl/sharedStrings.xml><?xml version="1.0" encoding="utf-8"?>
<sst xmlns="http://schemas.openxmlformats.org/spreadsheetml/2006/main" count="1456" uniqueCount="752">
  <si>
    <t>Answer-key spot-check (DS 440: The Language Gap)</t>
  </si>
  <si>
    <t>Purpose: check that the answer keys are right before the chatbot replies are scored.</t>
  </si>
  <si>
    <t>Only edit the yellow cells. Use the drop-down lists (yes / no / not found).</t>
  </si>
  <si>
    <t>Sheet 'Wikidata': 20 Wikidata questions (10 per league, chosen at random with seed 440). Open the Wikipedia link and check whether it gives the same answer as the answer key.</t>
  </si>
  <si>
    <t>Sheet 'MKQA kept': all 88 kept MKQA questions. Check (1) Claude's decision to keep it: the fact must not change over time and must have one clear answer; (2) the answer key, using the Wikipedia search link.</t>
  </si>
  <si>
    <t>Sheet 'MKQA rejected sample': 30 of the 593 rejected MKQA questions (seed 440). Check whether you agree they should be left out.</t>
  </si>
  <si>
    <t>If Wikipedia has no page or does not mention the fact, choose 'not found' and add a note.</t>
  </si>
  <si>
    <t>Example of a filled-in row (Wikidata sheet)</t>
  </si>
  <si>
    <t>Question</t>
  </si>
  <si>
    <t>Answer key</t>
  </si>
  <si>
    <t>Wikipedia agrees?</t>
  </si>
  <si>
    <t>Notes</t>
  </si>
  <si>
    <t>Where was the footballer Mohd Sharmiza Yusoff born?</t>
  </si>
  <si>
    <t>Marang</t>
  </si>
  <si>
    <t>yes</t>
  </si>
  <si>
    <t>English Wikipedia: born in Marang, Terengganu</t>
  </si>
  <si>
    <t>Summary (updates as you fill in the sheets)</t>
  </si>
  <si>
    <t>Check</t>
  </si>
  <si>
    <t>no</t>
  </si>
  <si>
    <t>not found / blank</t>
  </si>
  <si>
    <t>Wikidata: Wikipedia agrees</t>
  </si>
  <si>
    <t>MKQA: keep decision right</t>
  </si>
  <si>
    <t>MKQA: answer key right</t>
  </si>
  <si>
    <t>MKQA rejected: agree to leave out</t>
  </si>
  <si>
    <t>Sources: data/questions/questions_final.csv and data/questions/mkqa_sports_candidates.csv in the GitHub repo. Rows chosen with Python random seed 440.</t>
  </si>
  <si>
    <t>#</t>
  </si>
  <si>
    <t>Question ID</t>
  </si>
  <si>
    <t>League</t>
  </si>
  <si>
    <t>Type</t>
  </si>
  <si>
    <t>Question (English)</t>
  </si>
  <si>
    <t>Answer key (English)</t>
  </si>
  <si>
    <t>Answer key (Malay)</t>
  </si>
  <si>
    <t>Wikidata page</t>
  </si>
  <si>
    <t>English Wikipedia</t>
  </si>
  <si>
    <t>Malay Wikipedia</t>
  </si>
  <si>
    <t>Wikipedia agrees? (yes / no / not found)</t>
  </si>
  <si>
    <t>msl-Q1524396-P1</t>
  </si>
  <si>
    <t>Malaysia Super League</t>
  </si>
  <si>
    <t>player</t>
  </si>
  <si>
    <t>Where was the footballer Hiroyuki Ishida born?</t>
  </si>
  <si>
    <t>Yokohama</t>
  </si>
  <si>
    <t>Wikidata</t>
  </si>
  <si>
    <t>English Wikipedia: born 31 Aug 1979 in Yokohama, Japan.</t>
  </si>
  <si>
    <t>msl-Q16232564-P2</t>
  </si>
  <si>
    <t>In which year was the footballer Famirul Asyraf Sayuti born?</t>
  </si>
  <si>
    <t>1989</t>
  </si>
  <si>
    <t>English Wikipedia: born 17 Nov 1989.</t>
  </si>
  <si>
    <t>msl-Q19899321-P2</t>
  </si>
  <si>
    <t>In which year was the footballer Austin Amutu born?</t>
  </si>
  <si>
    <t>1993</t>
  </si>
  <si>
    <t>English Wikipedia: born 20 Feb 1993 in Jos, Nigeria.</t>
  </si>
  <si>
    <t>msl-Q2046312-C1</t>
  </si>
  <si>
    <t>club</t>
  </si>
  <si>
    <t>In which city is the football club Sri Pahang F.C. based?</t>
  </si>
  <si>
    <t>Kuantan</t>
  </si>
  <si>
    <t>English Wikipedia: club 'based in Kuantan, Pahang' (Darul Makmur Stadium).</t>
  </si>
  <si>
    <t>msl-Q23542552-P1</t>
  </si>
  <si>
    <t>Where was the footballer Adam Nor Azlin born?</t>
  </si>
  <si>
    <t>Klang</t>
  </si>
  <si>
    <t>English Wikipedia: born 5 Jan 1996 in Klang, Selangor.</t>
  </si>
  <si>
    <t>msl-Q2993336-P1</t>
  </si>
  <si>
    <t>Where was the footballer Dramane Traoré born?</t>
  </si>
  <si>
    <t>Bamako</t>
  </si>
  <si>
    <t>English Wikipedia: born 17 Jun 1982 in Bamako, Mali.</t>
  </si>
  <si>
    <t>msl-Q3045672-P2</t>
  </si>
  <si>
    <t>In which year was the footballer Francis Doe born?</t>
  </si>
  <si>
    <t>1985</t>
  </si>
  <si>
    <t>English Wikipedia: born 25 Dec 1985 in Monrovia, Liberia.</t>
  </si>
  <si>
    <t>msl-Q6893888-P1</t>
  </si>
  <si>
    <t>Where was the footballer Mohd Fairuz Abdul Aziz born?</t>
  </si>
  <si>
    <t>Selangor</t>
  </si>
  <si>
    <t>not found</t>
  </si>
  <si>
    <t>msl-Q6893958-P1</t>
  </si>
  <si>
    <t>Where was the footballer Mohd Irfan Fazail born?</t>
  </si>
  <si>
    <t>Pontian District</t>
  </si>
  <si>
    <t>Pontian</t>
  </si>
  <si>
    <t>English Wikipedia: born 12 Apr 1991 in Pontian, Johor (answer key says Pontian District; same place).</t>
  </si>
  <si>
    <t>msl-Q7967029-P1</t>
  </si>
  <si>
    <t>Where was the footballer Wan Zaman Wan Mustapha born?</t>
  </si>
  <si>
    <t>Kota Bharu</t>
  </si>
  <si>
    <t>English Wikipedia: text says born 12 Jun 1983 in Kota Bharu, Kelantan (infobox field blank).</t>
  </si>
  <si>
    <t>nba-Q131004971-P1</t>
  </si>
  <si>
    <t>NBA</t>
  </si>
  <si>
    <t>Where was the basketball player Brooks Barnhizer born?</t>
  </si>
  <si>
    <t>Lafayette</t>
  </si>
  <si>
    <t>English Wikipedia: born 2 Mar 2002 in Lafayette, Indiana.</t>
  </si>
  <si>
    <t>nba-Q1464679-P1</t>
  </si>
  <si>
    <t>Where was the basketball player Jeff Nordgaard born?</t>
  </si>
  <si>
    <t>Dawson</t>
  </si>
  <si>
    <t>English Wikipedia: born 23 Feb 1973 in Dawson, Minnesota.</t>
  </si>
  <si>
    <t>nba-Q1615621-P2</t>
  </si>
  <si>
    <t>In which year was the basketball player Gerald Calabrese born?</t>
  </si>
  <si>
    <t>1925</t>
  </si>
  <si>
    <t>English Wikipedia: born 4 Feb 1925 (in Hoboken, New Jersey).</t>
  </si>
  <si>
    <t>nba-Q17285824-P1</t>
  </si>
  <si>
    <t>Where was the basketball player Perry Warbington born?</t>
  </si>
  <si>
    <t>Atlanta</t>
  </si>
  <si>
    <t>English Wikipedia: born 7 Sep 1952 in Atlanta, Georgia.</t>
  </si>
  <si>
    <t>nba-Q2736555-P1</t>
  </si>
  <si>
    <t>Where was the basketball player Ray Lumpp born?</t>
  </si>
  <si>
    <t>Brooklyn</t>
  </si>
  <si>
    <t>English Wikipedia: born 11 Jul 1923 in Brooklyn, New York.</t>
  </si>
  <si>
    <t>nba-Q2824953-P2</t>
  </si>
  <si>
    <t>In which year was the basketball player Adonis Thomas born?</t>
  </si>
  <si>
    <t>English Wikipedia: born 25 Mar 1993 (in Memphis, Tennessee).</t>
  </si>
  <si>
    <t>nba-Q380515-P2</t>
  </si>
  <si>
    <t>In which year was the basketball player Willis Reed born?</t>
  </si>
  <si>
    <t>1942</t>
  </si>
  <si>
    <t>English Wikipedia: born 25 Jun 1942 (in Hico, Louisiana).</t>
  </si>
  <si>
    <t>nba-Q4401184-P2</t>
  </si>
  <si>
    <t>In which year was the basketball player Nate Blackwell born?</t>
  </si>
  <si>
    <t>1965</t>
  </si>
  <si>
    <t>English Wikipedia: born 15 Feb 1965 (in Philadelphia).</t>
  </si>
  <si>
    <t>nba-Q463317-P1</t>
  </si>
  <si>
    <t>Where was the basketball player Desmond Mason born?</t>
  </si>
  <si>
    <t>Waxahachie</t>
  </si>
  <si>
    <t>English Wikipedia: born 11 Oct 1977 in Waxahachie, Texas.</t>
  </si>
  <si>
    <t>nba-Q51683022-P2</t>
  </si>
  <si>
    <t>In which year was the basketball player Jacob Evans born?</t>
  </si>
  <si>
    <t>1997</t>
  </si>
  <si>
    <t>English Wikipedia: article 'Jacob Evans': born 18 Jun 1997 (in Jacksonville, North Carolina).</t>
  </si>
  <si>
    <t>Question (Malay, MKQA)</t>
  </si>
  <si>
    <t>Answer type</t>
  </si>
  <si>
    <t>Main answer</t>
  </si>
  <si>
    <t>All accepted answers (used for scoring)</t>
  </si>
  <si>
    <t>Claude's reason for keeping</t>
  </si>
  <si>
    <t>Keep it? (yes / no)</t>
  </si>
  <si>
    <t>Answer key right? (yes / no)</t>
  </si>
  <si>
    <t>mkqa--1040708440497808999</t>
  </si>
  <si>
    <t>who was the female tennis player that got stabbed</t>
  </si>
  <si>
    <t>siapakah pemain tenis perempuan yang ditikam</t>
  </si>
  <si>
    <t>entity</t>
  </si>
  <si>
    <t>Monica Seles</t>
  </si>
  <si>
    <t>yes: stable fact with one clear answer</t>
  </si>
  <si>
    <t>Search Wikipedia</t>
  </si>
  <si>
    <t>Monica Seles: stabbed on 30 Apr 1993 during a match in Hamburg.</t>
  </si>
  <si>
    <t>mkqa--1180066430424081783</t>
  </si>
  <si>
    <t>how many points for winning f1 grand prix</t>
  </si>
  <si>
    <t>berapa banyak mata untuk memenangi grand prix f1</t>
  </si>
  <si>
    <t>number</t>
  </si>
  <si>
    <t>25.0</t>
  </si>
  <si>
    <t>25.0 | 25</t>
  </si>
  <si>
    <t>F1 points systems: the winner has received 25 points since 2010.</t>
  </si>
  <si>
    <t>mkqa--1898289033626389774</t>
  </si>
  <si>
    <t>who scored a hat-trick in the 1966 world cup final</t>
  </si>
  <si>
    <t>siapakah yang mencapai hat-trick dalam pentas akhir piala dunia 1966</t>
  </si>
  <si>
    <t>Geoff Hurst</t>
  </si>
  <si>
    <t>Geoff Hurst | Sir Geoff Hurst</t>
  </si>
  <si>
    <t>1966 FIFA World Cup final: Geoff Hurst scored a hat-trick.</t>
  </si>
  <si>
    <t>mkqa--1939531535960416236</t>
  </si>
  <si>
    <t>who has won the 2018 men's singles tata open maharashtra tennis tournament</t>
  </si>
  <si>
    <t>siapakah yang memenangi kejohanan tenis tata terbuka maharashtra lelaki perseorangan 2018</t>
  </si>
  <si>
    <t>Gilles Simon</t>
  </si>
  <si>
    <t>2018 Maharashtra Open: Gilles Simon won the singles title.</t>
  </si>
  <si>
    <t>mkqa--1970505664005495754</t>
  </si>
  <si>
    <t>where are the olympics being held in 2024</t>
  </si>
  <si>
    <t>dimanakah tempat penganjuran sukan olimpik pada tahun 2024</t>
  </si>
  <si>
    <t>France</t>
  </si>
  <si>
    <t>France | Republic of France | République française | FRA | French Republic | La France | Paris | City of Light | Paris, France | Perancis</t>
  </si>
  <si>
    <t>2024 Summer Olympics: hosted by Paris, France.</t>
  </si>
  <si>
    <t>mkqa--2044066155885527892</t>
  </si>
  <si>
    <t>who won the 1973 battle of the sexes tennis match</t>
  </si>
  <si>
    <t>siapa yang menang perlawanan tenis battle of the sexes tahun 1973</t>
  </si>
  <si>
    <t>short_phrase</t>
  </si>
  <si>
    <t>billie jean</t>
  </si>
  <si>
    <t>Battle of the Sexes: Billie Jean King won 6-4, 6-3, 6-3. Accepted answer is only 'billie jean' (no 'King'), which still matches a full-name reply.</t>
  </si>
  <si>
    <t>mkqa--2848699779862371577</t>
  </si>
  <si>
    <t>who won the women's college basketball championship 2018</t>
  </si>
  <si>
    <t>siapa yang memenangi kejohanan bola keranjang kolej wanita 2018</t>
  </si>
  <si>
    <t>Notre Dame Fighting Irish women's basketball</t>
  </si>
  <si>
    <t>Notre Dame Fighting Irish women's basketball | bola keranjang wanita Ireland Notre Dame Fighting</t>
  </si>
  <si>
    <t>yes: stable fact with one clear answer; check scoring: Malay answer is a rough translation</t>
  </si>
  <si>
    <t>2018 NCAA women's tournament: Notre Dame beat Mississippi State 61-58.</t>
  </si>
  <si>
    <t>mkqa--3140221241061709801</t>
  </si>
  <si>
    <t>when was the first time soccer was played in the olympics</t>
  </si>
  <si>
    <t>bila kali pertama bola sepak menjadi sebahagian pertandingan dalam olimpik</t>
  </si>
  <si>
    <t>date</t>
  </si>
  <si>
    <t>1900</t>
  </si>
  <si>
    <t>Football at the Summer Olympics: first played at the 1900 Paris Games.</t>
  </si>
  <si>
    <t>mkqa--3205628534025138068</t>
  </si>
  <si>
    <t>when was the first cricket world cup held</t>
  </si>
  <si>
    <t>bilakah piala dunia kriket pertama diadakan</t>
  </si>
  <si>
    <t>1975</t>
  </si>
  <si>
    <t>Cricket World Cup: the first one was held in 1975 in England.</t>
  </si>
  <si>
    <t>mkqa--410573280373798687</t>
  </si>
  <si>
    <t>how many medals did canada win at the vancouver olympics</t>
  </si>
  <si>
    <t>berapakah pingat yang kanada dapat dalam sukan olimpik vancouver</t>
  </si>
  <si>
    <t>26.0</t>
  </si>
  <si>
    <t>26.0 | 26</t>
  </si>
  <si>
    <t>Canada at the 2010 Winter Olympics: 14 gold, 7 silver, 5 bronze = 26.</t>
  </si>
  <si>
    <t>mkqa--4284623815560868172</t>
  </si>
  <si>
    <t>who won the mlb world series in 2002</t>
  </si>
  <si>
    <t>siapakah yang telah memenangi mlb world series pada tahun 2002</t>
  </si>
  <si>
    <t>Los Angeles Angels</t>
  </si>
  <si>
    <t>Los Angeles Angels | California Angels | Los Angeles Angels of Anaheim | Anaheim Angels | LAA | LA Angels | Angels</t>
  </si>
  <si>
    <t>2002 World Series: won by the Anaheim Angels (now the Los Angeles Angels).</t>
  </si>
  <si>
    <t>mkqa--4692588432253206145</t>
  </si>
  <si>
    <t>how many teams did shaq play for in the nba</t>
  </si>
  <si>
    <t>shaq telah main untuk berapa pasukan di dalam nba</t>
  </si>
  <si>
    <t>6.0</t>
  </si>
  <si>
    <t>6.0 | 6</t>
  </si>
  <si>
    <t>Shaquille O'Neal: 6 teams (Magic, Lakers, Heat, Suns, Cavaliers, Celtics).</t>
  </si>
  <si>
    <t>mkqa--5168092432397841243</t>
  </si>
  <si>
    <t>who won the fifa world cup in 1958</t>
  </si>
  <si>
    <t>siapa pemenang piala dunia fifa 1958</t>
  </si>
  <si>
    <t>Brazil</t>
  </si>
  <si>
    <t>Brazil | Federative Republic of Brazil | Federativa Republica do Brasil | Federativa República do Brasil | Republic Federative of Brasil | Brasil | República Federativa do Brasil | Republica Federativa do Brasil | Estados Unidos del Brazil | BRA</t>
  </si>
  <si>
    <t>1958 FIFA World Cup: Brazil beat Sweden 5-2 in the final.</t>
  </si>
  <si>
    <t>mkqa--5332415273865797138</t>
  </si>
  <si>
    <t>when did aaron judge make his mlb debut</t>
  </si>
  <si>
    <t>bilakah  aaron judge  debut mlbnya</t>
  </si>
  <si>
    <t>2016</t>
  </si>
  <si>
    <t>Aaron Judge: MLB debut on 13 Aug 2016.</t>
  </si>
  <si>
    <t>mkqa--5648483304974433868</t>
  </si>
  <si>
    <t>where will the olympics be held in 2022</t>
  </si>
  <si>
    <t>di mana akan diadakan Olimpik pada tahun 2022</t>
  </si>
  <si>
    <t>Beijing</t>
  </si>
  <si>
    <t>Beijing | Beiping | Peking | Yanjing | Zhongdu | Peiping | Khanbaliq | People's Republic of China | China | PRC | PR China | Communist China | CHN | Republik Rakyat China</t>
  </si>
  <si>
    <t>2022 Winter Olympics: held in Beijing, China.</t>
  </si>
  <si>
    <t>mkqa--5764400095751515490</t>
  </si>
  <si>
    <t>when does the american football season start 2018</t>
  </si>
  <si>
    <t>bilakah musim american football bermula 2018</t>
  </si>
  <si>
    <t>2018-09-06</t>
  </si>
  <si>
    <t>2018-09-06 | 2018 September, 06 | 06 September 2018 | 09-06-2018 | 06-09-2018 | 09/06/2018 | 2018 September 06 | 09 06 2018 | 06/09/2018 | 06 09 2018 | 2018 09 06</t>
  </si>
  <si>
    <t>Keep: no, two valid answers: the NFL started on 6 Sep 2018, but college football started earlier. | Answer key: 2018 NFL season: began on 6 Sep 2018. Note: 'American football season' could also mean college football, which starts earlier.</t>
  </si>
  <si>
    <t>mkqa--6011520478702185430</t>
  </si>
  <si>
    <t>who won the first icc t20 world cup</t>
  </si>
  <si>
    <t>siapa pemenang pertama piala dunia icc t20</t>
  </si>
  <si>
    <t>India</t>
  </si>
  <si>
    <t>India | Bharatvarsh | Bharat | Hindustan | Republic of India | IND | India national cricket team | India national cricket | India cricket team | India cricket | India men's cricket team | Men in blue | India men's cricket | Team India | Indian cricket team | India men's national cricket | India men's national cricket team | Pasukan kriket kebangsaan India</t>
  </si>
  <si>
    <t>yes: stable fact with one clear answer; check scoring: accepted_answers_en wrongly includes West Indies</t>
  </si>
  <si>
    <t>2007 ICC World Twenty20: India beat Pakistan in the final. West Indies is no longer in the accepted answers.</t>
  </si>
  <si>
    <t>mkqa--6209279742812700651</t>
  </si>
  <si>
    <t>where is the 2023 rugby world cup being held</t>
  </si>
  <si>
    <t>di manakah piala dunia ragbi tahun 2023 akan diadakan</t>
  </si>
  <si>
    <t>France | Republic of France | République française | FRA | French Republic | La France | Perancis</t>
  </si>
  <si>
    <t>2023 Rugby World Cup: held in France.</t>
  </si>
  <si>
    <t>mkqa--6544825601820866137</t>
  </si>
  <si>
    <t>who won the tour de france in 2016</t>
  </si>
  <si>
    <t>siapa pemenang tour de france tahun 2016</t>
  </si>
  <si>
    <t>Chris Froome</t>
  </si>
  <si>
    <t>Chris Froome | Christopher Clive Froome | Froomey | Christopher Froome</t>
  </si>
  <si>
    <t>2016 Tour de France: won by Chris Froome.</t>
  </si>
  <si>
    <t>mkqa--6603844747009996534</t>
  </si>
  <si>
    <t>when did tom brady start playing in the nfl</t>
  </si>
  <si>
    <t>bila tom brady bermula pertandingan dalam nfl</t>
  </si>
  <si>
    <t>2000</t>
  </si>
  <si>
    <t>Tom Brady: drafted in 2000 and played his rookie 2000 season.</t>
  </si>
  <si>
    <t>mkqa--7358985108697827429</t>
  </si>
  <si>
    <t>how many rounds are in the nfl draft</t>
  </si>
  <si>
    <t>berapa banyak pusingan dalam draf nfl</t>
  </si>
  <si>
    <t>7.0</t>
  </si>
  <si>
    <t>7.0 | 7</t>
  </si>
  <si>
    <t>NFL draft: 'Currently, the draft consists of seven rounds.'</t>
  </si>
  <si>
    <t>mkqa--747785293083158949</t>
  </si>
  <si>
    <t>where does the tour de france take place</t>
  </si>
  <si>
    <t>dimanakah tour de france diadakan</t>
  </si>
  <si>
    <t>Tour de France: 'held primarily in France' (sometimes starts in or passes through nearby countries).</t>
  </si>
  <si>
    <t>mkqa--7481873386443255638</t>
  </si>
  <si>
    <t>who had the most medals in the 2016 olympics</t>
  </si>
  <si>
    <t>siapa yang mendapat paling banying pingat dalam Olimpik 2016</t>
  </si>
  <si>
    <t>United States of America</t>
  </si>
  <si>
    <t>United States of America | U.S.A. | the USA | the United States | U. S. A. | USA | US of A | the US | United States | U. S. | U.S. | America | the United States of America | Amerika Syarikat | Amerika</t>
  </si>
  <si>
    <t>2016 Olympics medal table: most total medals, United States (121).</t>
  </si>
  <si>
    <t>mkqa--7551002558353070355</t>
  </si>
  <si>
    <t>who has won the fifa world player award for 2015</t>
  </si>
  <si>
    <t>siapa yang telah memenangi anugerah pemain dunia fifa untuk 2015</t>
  </si>
  <si>
    <t>Lionel Messi</t>
  </si>
  <si>
    <t>Lionel Messi | Lionel Andres Messi | Lionel Andrés Messi | Messi | Lionel Andrés Messi Cuccittini | Leo Messi</t>
  </si>
  <si>
    <t>2015 FIFA Ballon d'Or: won by Lionel Messi.</t>
  </si>
  <si>
    <t>mkqa--7607636557088944531</t>
  </si>
  <si>
    <t>who won the 1913 us open golf tournament</t>
  </si>
  <si>
    <t>siapa yang memenangi kejohanan golf terbuka us 1913</t>
  </si>
  <si>
    <t>Francis Ouimet</t>
  </si>
  <si>
    <t>yes: stable fact with one clear answer; check scoring: accepted_answers_en includes United States (too loose)</t>
  </si>
  <si>
    <t>1913 U.S. Open (golf): won by amateur Francis Ouimet. 'United States' is no longer in the accepted answers.</t>
  </si>
  <si>
    <t>mkqa--7623679728866041421</t>
  </si>
  <si>
    <t>who won the wimbledon men's singles title 2017</t>
  </si>
  <si>
    <t>siapakah yang memenangi wimbledon perseorangan lelaki tahun 2017</t>
  </si>
  <si>
    <t>Roger Federer</t>
  </si>
  <si>
    <t>2017 Wimbledon: Roger Federer won the men's singles.</t>
  </si>
  <si>
    <t>mkqa--7648200374144536908</t>
  </si>
  <si>
    <t>how many stages are there to the tour de france</t>
  </si>
  <si>
    <t>berapakah jumlah peringkat dalam pertandingan tour de france</t>
  </si>
  <si>
    <t>21.0</t>
  </si>
  <si>
    <t>21.0 | 21</t>
  </si>
  <si>
    <t>Tour de France: modern editions have 21 stages.</t>
  </si>
  <si>
    <t>mkqa--7665714193515404632</t>
  </si>
  <si>
    <t>winner of women's single in badminton commonwealth games 2018</t>
  </si>
  <si>
    <t>pemenang tunggal wanita dalam permainan badminton commonwealth  2018</t>
  </si>
  <si>
    <t>Saina Nehwal</t>
  </si>
  <si>
    <t>Badminton at the 2018 Commonwealth Games: Saina Nehwal won women's singles gold.</t>
  </si>
  <si>
    <t>mkqa--7681197007038021704</t>
  </si>
  <si>
    <t>who won the nfl super bowl in 2003</t>
  </si>
  <si>
    <t>siapa yang memenangi super bowl nfl pada tahun 2003</t>
  </si>
  <si>
    <t>Tampa Bay Buccaneers</t>
  </si>
  <si>
    <t>Tampa Bay Buccaneers | Tampa Bucs | Tampa Bay Bucs Football | TB Buccaneers | Tampa Bay Bucs</t>
  </si>
  <si>
    <t>Super Bowl XXXVII: Buccaneers won on 26 Jan 2003 (2002 season). Note: the Super Bowl for the 2003 season (Feb 2004) was won by the Patriots, so the question is ambiguous. Kept by reading 'in 2003' as the game played in 2003.</t>
  </si>
  <si>
    <t>mkqa--7681888031479682364</t>
  </si>
  <si>
    <t>who won the 2017 nba rookie of the year</t>
  </si>
  <si>
    <t>siapakah pemenang rookie of the year nba pada tahun 2017</t>
  </si>
  <si>
    <t>Malcolm Brogdon</t>
  </si>
  <si>
    <t>Malcolm Brogdon | Malcolm Moses Brogdon | Malcolm Moses Adams Brogdon</t>
  </si>
  <si>
    <t>Malcolm Brogdon: 2016-17 Rookie of the Year (named in 2017). Note: the 2017-18 winner was Ben Simmons, so '2017' is ambiguous. Kept by reading '2017' as the award given in 2017 (2016-17 season).</t>
  </si>
  <si>
    <t>mkqa--7735046813287486329</t>
  </si>
  <si>
    <t>when did italy join the 5 nations rugby</t>
  </si>
  <si>
    <t>bila itali menyertai  ragbi  lima negara</t>
  </si>
  <si>
    <t>Six Nations: expanded in 2000 with the addition of Italy.</t>
  </si>
  <si>
    <t>mkqa--8462610305660843238</t>
  </si>
  <si>
    <t>when did free agency start in the nba</t>
  </si>
  <si>
    <t>bila agensi yang percuma bermula di nba</t>
  </si>
  <si>
    <t>1988</t>
  </si>
  <si>
    <t>1988 | 1993-03-01 | 03/01/1993 | 03 01 1993 | 01 03 1993 | 01/03/1993 | 1993 03 01 | 1993 March 01 | 01-03-1993 | 01 March 1993 | 03-01-1993 | 1993 March, 01 | 1993 Mac 01 | 01 Mac 1993 | 1993</t>
  </si>
  <si>
    <t>Keep: no, disputed start date: Wikipedia links free agency to both the 1976 settlement and 1988. | Answer key: Oscar Robertson page: 'free agency did not exist until 1988', so the main answer 1988 matches. But the accepted answers also include 1993 dates, which Wikipedia does not support, so a reply of '1993' would be scored correct. Remove the 1993 entries, then this can be 'yes'.</t>
  </si>
  <si>
    <t>mkqa--8689966629396228764</t>
  </si>
  <si>
    <t>which nation is the fifa 2014 world cup holder</t>
  </si>
  <si>
    <t>negara manakah adalah pemegang piala dunia fifa 2014</t>
  </si>
  <si>
    <t>Germany</t>
  </si>
  <si>
    <t>Germany | Deutschland | Federal Republic of Germany | Bundesrepublik Deutschland | GER | FRG | BRD | Jerman</t>
  </si>
  <si>
    <t>2014 FIFA World Cup: Germany beat Argentina 1-0.</t>
  </si>
  <si>
    <t>mkqa--8991186456399142895</t>
  </si>
  <si>
    <t>how many wimbledon titles does roger federer have</t>
  </si>
  <si>
    <t>berapa banyak gelaran wimbledon yang dimiliki oleh roger federer</t>
  </si>
  <si>
    <t>8.0</t>
  </si>
  <si>
    <t>8.0 | 8</t>
  </si>
  <si>
    <t>Roger Federer: 8 Wimbledon singles titles.</t>
  </si>
  <si>
    <t>mkqa--9079462351361244101</t>
  </si>
  <si>
    <t>who is the super bowl trophy named after</t>
  </si>
  <si>
    <t>trofi super bowl dinama berdasarkan siapa</t>
  </si>
  <si>
    <t>Vince Lombardi</t>
  </si>
  <si>
    <t>Vince Lombardi Trophy: named after Vince Lombardi.</t>
  </si>
  <si>
    <t>mkqa--9106651808061997159</t>
  </si>
  <si>
    <t>where is the us open tennis tournament played</t>
  </si>
  <si>
    <t>di mana kejohanan tenis Terbuka AS diadakan</t>
  </si>
  <si>
    <t>New York</t>
  </si>
  <si>
    <t>New York | NY | New York (state) | New York State | NYS | New York, United States | State of New York | United States of America | U.S.A. | the USA | the United States | U. S. A. | USA | US of A | the US | United States | U. S. | U.S. | America | the United States of America | USTA Billie Jean King National Tennis Center | U. S. Tennis Association Billie Jean King National Tennis Center | Amerika Syarikat | Amerika</t>
  </si>
  <si>
    <t>US Open (tennis): Flushing Meadows, Queens, New York City. Note: accepted answers include 'United States'/'America', which would count a vague reply as correct.</t>
  </si>
  <si>
    <t>mkqa--9122844704265840510</t>
  </si>
  <si>
    <t>where are they playing the little league world series</t>
  </si>
  <si>
    <t>dimanakah tempat pertarungan siri dunia liga kecil</t>
  </si>
  <si>
    <t>South Williamsport</t>
  </si>
  <si>
    <t>South Williamsport | South Williamsport, Pennsylvania | Pennsylvania | Commonwealth of Pennsylvania | Penna. | Pennsylvania, United States (State of Pennsylvania) Keystone State (PA) Penna | Keystone State</t>
  </si>
  <si>
    <t>Little League World Series: held in South Williamsport, Pennsylvania.</t>
  </si>
  <si>
    <t>mkqa--9219497506930338015</t>
  </si>
  <si>
    <t>who won the little league world series 2018</t>
  </si>
  <si>
    <t>siapa memenangi little league world series 2018</t>
  </si>
  <si>
    <t>Hawaii</t>
  </si>
  <si>
    <t>Hawaii | Kaimana Hila | Hawaii, United States | The Aloha State | State of Hawaii | Hawaiʻi</t>
  </si>
  <si>
    <t>Little League World Series: Hawaii won in 2018.</t>
  </si>
  <si>
    <t>mkqa--966663745163674657</t>
  </si>
  <si>
    <t>how many games do you have to win in the nba finals</t>
  </si>
  <si>
    <t>berapa perlawanan mesti satu pasukan menang untuk memenangi nba finals</t>
  </si>
  <si>
    <t>4.0</t>
  </si>
  <si>
    <t>4.0 | 4</t>
  </si>
  <si>
    <t>NBA Finals: best-of-seven, so 4 wins are needed.</t>
  </si>
  <si>
    <t>mkqa-1146131189893841602</t>
  </si>
  <si>
    <t>where is the wyndham golf tournament being played</t>
  </si>
  <si>
    <t>di manakah wyndham golf tournament dimainkan</t>
  </si>
  <si>
    <t>Greensboro</t>
  </si>
  <si>
    <t>Greensboro | Greensboro, North Carolina | Greensboro, NC | Greensborough | United States of America | U.S.A. | the USA | the United States | U. S. A. | USA | US of A | the US | United States | U. S. | U.S. | America | the United States of America | North Carolina | NC, United States | State of North Carolina | North Carolina, United States | Amerika Syarikat | Amerika | Carolina Utara</t>
  </si>
  <si>
    <t>Wyndham Championship: Sedgefield Country Club, Greensboro, North Carolina. Note: accepted answers include 'United States'/'America'.</t>
  </si>
  <si>
    <t>mkqa-145323670024929837</t>
  </si>
  <si>
    <t>who scored the national football league’s first two-point defensive conversion in 2015</t>
  </si>
  <si>
    <t>siapa yang menjaringkan two-point defensive conversion yang pertama dalam national football league pada tahun 2015</t>
  </si>
  <si>
    <t>Stephone Anthony</t>
  </si>
  <si>
    <t>Stephone Anthony: in 2015 became 'the first person in NFL history to return a blocked kick for two points' (a defensive two-point conversion).</t>
  </si>
  <si>
    <t>mkqa-2074109525231919974</t>
  </si>
  <si>
    <t>how many minutes are in a boxing round</t>
  </si>
  <si>
    <t>berapa minit dalam pusingan tinju</t>
  </si>
  <si>
    <t>number_with_unit</t>
  </si>
  <si>
    <t>3.0 minutes</t>
  </si>
  <si>
    <t>3.0 minutes | 3 minutes | 3.0 enam puluh saat | 3 enam puluh saat</t>
  </si>
  <si>
    <t>yes: stable fact with one clear answer; check scoring: Malay answer reads oddly</t>
  </si>
  <si>
    <t>Boxing: professional bouts use three-minute rounds. Note: the Malay accepted answer '3 enam puluh saat' reads oddly, but the number alone also counts.</t>
  </si>
  <si>
    <t>mkqa-2251755405631415787</t>
  </si>
  <si>
    <t>who is said to be father of modern olympics</t>
  </si>
  <si>
    <t>siapakah yang dikatakan sebagai bapa olimpik moden</t>
  </si>
  <si>
    <t>Pierre de Coubertin</t>
  </si>
  <si>
    <t>Pierre de Coubertin | Baron Pierre de Coubertin</t>
  </si>
  <si>
    <t>Pierre de Coubertin: 'known as the father of the modern Olympic Games.'</t>
  </si>
  <si>
    <t>mkqa-230009827411208826</t>
  </si>
  <si>
    <t>who won the under 17 world cup in india</t>
  </si>
  <si>
    <t>siapakah yang memenangi piala dunia di bawah 17 di india</t>
  </si>
  <si>
    <t>England national football team</t>
  </si>
  <si>
    <t>England national football team | England | Three Lions | Pasukan bola sepak kebangsaan England | Pasukan bolasepak kebangsaan England</t>
  </si>
  <si>
    <t>2017 FIFA U-17 World Cup (India): England beat Spain 5-2 in the final.</t>
  </si>
  <si>
    <t>mkqa-2421267297792024617</t>
  </si>
  <si>
    <t>when did the nba switch to best of 7</t>
  </si>
  <si>
    <t>bilakah nba bertukar ke best of 7</t>
  </si>
  <si>
    <t>2003</t>
  </si>
  <si>
    <t>Keep: no, several valid answers: the Finals were already best-of-seven; only the first round changed in 2003. | Answer key: NBA playoffs: 'In 2003 the first round was changed to also be best-of-seven.' Note: the Finals were already best-of-seven, so the question is a little ambiguous.</t>
  </si>
  <si>
    <t>mkqa-2438404045723751621</t>
  </si>
  <si>
    <t>when was the kansas city royals stadium built</t>
  </si>
  <si>
    <t>bilakah kansas city royals stadium dibina</t>
  </si>
  <si>
    <t>1973</t>
  </si>
  <si>
    <t>Kauffman Stadium: ground broken 1968, opened 10 Apr 1973. Note: 'built' could mean either year. Kept: a reply of 1968-1973 still contains 1973.</t>
  </si>
  <si>
    <t>mkqa-2447638342656723012</t>
  </si>
  <si>
    <t>where is the john deere golf classic being held</t>
  </si>
  <si>
    <t>di manakah the john deere golf classic  diadakan</t>
  </si>
  <si>
    <t>Illinois</t>
  </si>
  <si>
    <t>Illinois | The Land of Lincoln | Ill. | Prairie State | Land of Lincoln | State of Illinois | Illinois, United States | Ills. | The Prairie State | TPC at Deere Run | TPC di Deere Run</t>
  </si>
  <si>
    <t>John Deere Classic: TPC Deere Run, Silvis, Illinois.</t>
  </si>
  <si>
    <t>mkqa-3000918483349810310</t>
  </si>
  <si>
    <t>how many games in a professional baseball season</t>
  </si>
  <si>
    <t>berapa banyak permainannya dalam satu musim besbol profesional</t>
  </si>
  <si>
    <t>162.0</t>
  </si>
  <si>
    <t>162.0 | 162</t>
  </si>
  <si>
    <t>Major League Baseball: 'Each team plays 162 games per season.'</t>
  </si>
  <si>
    <t>mkqa-3036700087778896814</t>
  </si>
  <si>
    <t>how many teams make the playoffs in the nba</t>
  </si>
  <si>
    <t>berapa pasukan menyertai playoff di nba</t>
  </si>
  <si>
    <t>16.0</t>
  </si>
  <si>
    <t>16.0 | 16 | 8.0 | 8</t>
  </si>
  <si>
    <t>Keep: no, two valid answers since the play-in: 16 teams in the playoffs, but 20 in the postseason. | Answer key: NBA playoffs: 16 teams (12 qualify directly, 4 through the play-in). Note: accepted answers also include 8 (one conference), which is only half the field.</t>
  </si>
  <si>
    <t>mkqa-3054286903521818250</t>
  </si>
  <si>
    <t>where will the 2028 summer olympics be held</t>
  </si>
  <si>
    <t>di manakah olimpik musim panas 2028 akan diadakan</t>
  </si>
  <si>
    <t>California</t>
  </si>
  <si>
    <t>California | State of California | The Golden State | Los Angeles | Pink City | Tinsel Town | Los Angeles, California | City of Angels | LA, California | Double Dubuque | L.A. | Los Ángeles | La La Land | City of Los Angeles | The town of Our Lady the Queen of the Angels of the Little Portion</t>
  </si>
  <si>
    <t>2028 Summer Olympics: Los Angeles will host.</t>
  </si>
  <si>
    <t>mkqa-3241401294998506831</t>
  </si>
  <si>
    <t>how many times did michael schumacher win the formula one world championship title</t>
  </si>
  <si>
    <t>berapa kali michael schumacher memenangi gelaran juara dunia formula satu</t>
  </si>
  <si>
    <t>Michael Schumacher: seven World Drivers' Championships.</t>
  </si>
  <si>
    <t>mkqa-3348132901503508659</t>
  </si>
  <si>
    <t>when did pakistan win the olympic gold medal in hockey for the first time</t>
  </si>
  <si>
    <t>bila kali pertama telah pakistan memenangi pingat emas olimpik untuk hoki</t>
  </si>
  <si>
    <t>1960</t>
  </si>
  <si>
    <t>Pakistan men's hockey team: first Olympic gold in 1960 (Rome).</t>
  </si>
  <si>
    <t>mkqa-3476152606555347235</t>
  </si>
  <si>
    <t>the first indian man to reach the final of an olympic athletic event</t>
  </si>
  <si>
    <t>lelaki india yang pertama untuk layak ke saringan akhir acara sukan Olimpik</t>
  </si>
  <si>
    <t>Milkha Singh</t>
  </si>
  <si>
    <t>Milkha Singh | The Flying Sikh</t>
  </si>
  <si>
    <t>Keep: no, answer is doubtful (see answer-key note). | Answer key: The Milkha Singh page does not say he was the first; it says he finished 4th in the 1960 400 m final. Norman Pritchard (credited to India by the IOC) won silver in two athletics finals in 1900, so the answer key is doubtful.</t>
  </si>
  <si>
    <t>mkqa-3540503400206333603</t>
  </si>
  <si>
    <t>who pays the us women's soccer team</t>
  </si>
  <si>
    <t>siapa membayar pasukan bola sepak wanita amerika syarikat</t>
  </si>
  <si>
    <t>United States Soccer Federation</t>
  </si>
  <si>
    <t>United States Soccer Federation | US Soccer | U.S. Soccer | USSF | Federasi Bola Sepak Amerika Syarikat</t>
  </si>
  <si>
    <t>US women's national soccer team: 'governed by the United States Soccer Federation', which sets pay through collective bargaining.</t>
  </si>
  <si>
    <t>mkqa-3733328795618507865</t>
  </si>
  <si>
    <t>how many nba titles does kobe bryant have</t>
  </si>
  <si>
    <t>kobe bryant mempunyai berapa banyak tajuk nba</t>
  </si>
  <si>
    <t>5.0</t>
  </si>
  <si>
    <t>5.0 | 5</t>
  </si>
  <si>
    <t>Kobe Bryant: five-time NBA champion.</t>
  </si>
  <si>
    <t>mkqa-3918640500309682159</t>
  </si>
  <si>
    <t>where do the new york giants play football</t>
  </si>
  <si>
    <t>di tempat mana new york giants bermain football</t>
  </si>
  <si>
    <t>New Jersey</t>
  </si>
  <si>
    <t>New Jersey | Garden State | NJ | State of New Jersey | Jersey | New Jersey, United States | United States of America | U.S.A. | the USA | the United States | U. S. A. | USA | US of A | the US | United States | U. S. | U.S. | America | the United States of America | MetLife Stadium | New Meadowlands Stadium | Bergen | East Rutherford | Amerika Syarikat | Amerika | Stadium MetLife | Rutherford Timur</t>
  </si>
  <si>
    <t>MetLife Stadium: East Rutherford, New Jersey, home of the Giants and Jets. Note: accepted answers include 'United States'/'America'.</t>
  </si>
  <si>
    <t>mkqa-4010552134847535060</t>
  </si>
  <si>
    <t>who scored the first goal in 2010 world cup</t>
  </si>
  <si>
    <t>siapakah yang menjaringkan gol pertama pada piala dunia 2010</t>
  </si>
  <si>
    <t>Siphiwe Tshabalala</t>
  </si>
  <si>
    <t>Siphiwe Tshabalala | Lawrence Siphiwe Tshabalala</t>
  </si>
  <si>
    <t>Siphiwe Tshabalala: scored the opening goal of the 2010 World Cup against Mexico.</t>
  </si>
  <si>
    <t>mkqa-4098587937820698006</t>
  </si>
  <si>
    <t>who ran 26 miles between marathon and athens</t>
  </si>
  <si>
    <t>siapakah yang berlari 26 batu di antara marathon dan athens</t>
  </si>
  <si>
    <t>Pheidippides</t>
  </si>
  <si>
    <t>Pheidippides: in the legend, he ran from Marathon to Athens.</t>
  </si>
  <si>
    <t>mkqa-4190804873471732620</t>
  </si>
  <si>
    <t>who won the stanley cup finals in 2018</t>
  </si>
  <si>
    <t>siapa yang memenangi  stanley cup pada 2018</t>
  </si>
  <si>
    <t>Washington Capitals</t>
  </si>
  <si>
    <t>Washington Capitals | Washington Caps | Capitals | Caps</t>
  </si>
  <si>
    <t>2018 Stanley Cup Final: Washington Capitals beat Vegas 4-1.</t>
  </si>
  <si>
    <t>mkqa-4425835302062400296</t>
  </si>
  <si>
    <t>when did argentina win their first world cup</t>
  </si>
  <si>
    <t>bila argentina menang piala dunia pertama kali mereka</t>
  </si>
  <si>
    <t>1978</t>
  </si>
  <si>
    <t>Argentina national team: first World Cup win in 1978.</t>
  </si>
  <si>
    <t>mkqa-4442125092629591817</t>
  </si>
  <si>
    <t>how many hockey games are in a season</t>
  </si>
  <si>
    <t>berapakah banyak permainan hoki dalam satu musim</t>
  </si>
  <si>
    <t>82.0</t>
  </si>
  <si>
    <t>82.0 | 82</t>
  </si>
  <si>
    <t>Keep: no, count has changed: the NHL now plays 84 games, so the fact is not stable. | Answer key: Out of date: the NHL regular season expanded from 82 to 84 games in 2026-27 (Wikipedia, '2026-27 NHL season'). The answer key (82) was correct only up to 2025-26.</t>
  </si>
  <si>
    <t>mkqa-4528192525703301950</t>
  </si>
  <si>
    <t>when did the chicago bears join the nfl</t>
  </si>
  <si>
    <t>bilakah  chicago bears menyertai nfl</t>
  </si>
  <si>
    <t>1920</t>
  </si>
  <si>
    <t>Chicago Bears: charter members of the APFA (the NFL's forerunner) in 1920, as the Decatur Staleys.</t>
  </si>
  <si>
    <t>mkqa-4972735096175159012</t>
  </si>
  <si>
    <t>who won the tour de france in 1985</t>
  </si>
  <si>
    <t>siapakah yang telah memenangi tour de france pada tahun 1985</t>
  </si>
  <si>
    <t>Bernard Hinault</t>
  </si>
  <si>
    <t>yes: stable fact with one clear answer; check scoring: accepted_answers_en wrongly includes Greg LeMond</t>
  </si>
  <si>
    <t>1985 Tour de France: Bernard Hinault won and Greg LeMond was 2nd. LeMond is no longer in the accepted answers.</t>
  </si>
  <si>
    <t>mkqa-4992973967728216447</t>
  </si>
  <si>
    <t>how many nba titles did michael jordan win</t>
  </si>
  <si>
    <t>michael jordan menang berapa johan nba</t>
  </si>
  <si>
    <t>Michael Jordan: six NBA championships.</t>
  </si>
  <si>
    <t>mkqa-5008591256887246614</t>
  </si>
  <si>
    <t>when did alpine skiing come to the olympics</t>
  </si>
  <si>
    <t>bilakah ski alpine datang ke sukan olimpik</t>
  </si>
  <si>
    <t>1936</t>
  </si>
  <si>
    <t>Alpine skiing at the Winter Olympics: contested at every Games since 1936.</t>
  </si>
  <si>
    <t>mkqa-5769591337214981463</t>
  </si>
  <si>
    <t>who was the first indian bowler to take hat - trick in test cricket</t>
  </si>
  <si>
    <t>siapa yang merupakan bowler india pertama yang mengambil hat - trick dalam ujian kriket</t>
  </si>
  <si>
    <t>Harbhajan Singh</t>
  </si>
  <si>
    <t>Harbhajan Singh | Bhajji | Harbhajan Singh Plaha</t>
  </si>
  <si>
    <t>Harbhajan Singh: in 2001 vs Australia, 'the first Indian to claim a Test hat-trick.'</t>
  </si>
  <si>
    <t>mkqa-5856964448344804976</t>
  </si>
  <si>
    <t>who won the gold medal for ice hockey 2014</t>
  </si>
  <si>
    <t>siapa yang memenangi pingat emas untuk hoki ais 2014</t>
  </si>
  <si>
    <t>Canada</t>
  </si>
  <si>
    <t>Canada | British North America | CDN | Dominion of Canada | Kanada</t>
  </si>
  <si>
    <t>Ice hockey at the 2014 Olympics: Canada won both men's and women's gold.</t>
  </si>
  <si>
    <t>mkqa-5977557104954330791</t>
  </si>
  <si>
    <t>how many nba games does each team play</t>
  </si>
  <si>
    <t>berapakah banyak permainan nba bagi setiap pasukan</t>
  </si>
  <si>
    <t>NBA: 'each team plays 82 games.'</t>
  </si>
  <si>
    <t>mkqa-645017412166141476</t>
  </si>
  <si>
    <t>who is the basketball player that went to north korea</t>
  </si>
  <si>
    <t>Siapakah pemain bola keranjang yang ke Korea Utara</t>
  </si>
  <si>
    <t>Dennis Rodman</t>
  </si>
  <si>
    <t>Dennis Rodman | Worm | Dennis Keith Rodman | Dennis the Menace | The Worm</t>
  </si>
  <si>
    <t>Dennis Rodman: visited North Korea in 2013 and again later.</t>
  </si>
  <si>
    <t>mkqa-6562304557552812836</t>
  </si>
  <si>
    <t>who won the 2015 ncaa men's basketball championship</t>
  </si>
  <si>
    <t>siapakah pemenang dalam ncaa men's basketball championship tahun dua ribu limabelas</t>
  </si>
  <si>
    <t>Duke Blue Devils men's basketball</t>
  </si>
  <si>
    <t>Duke Blue Devils men's basketball | Duke Blue Devils men's basketball team | Duke University Blue Devils basketball team | Duke University basketball team | Duke University basketball | Blue Devils basketball | Duke Blue Devils basketball team | Duke men's basketball team | Duke University men's basketball team | Duke University Blue Devils men's basketball team | Duke basketball | Duke Blue Devils basketball | Duke basketball team | Duke University Blue Devils men's basketball | Duke men's basketball | Duke University men's basketball | bola keranjang lelaki Duke Blue Devils</t>
  </si>
  <si>
    <t>2015 NCAA men's tournament: Duke beat Wisconsin 68-63.</t>
  </si>
  <si>
    <t>mkqa-6768266617246001034</t>
  </si>
  <si>
    <t>when did nhl players start to play in the olympics</t>
  </si>
  <si>
    <t>bilakah pemain nhl bermula untuk main di dalam sukan olimpik</t>
  </si>
  <si>
    <t>1998</t>
  </si>
  <si>
    <t>Ice hockey at the Olympic Games: 'NHL players were admitted starting in 1998.'</t>
  </si>
  <si>
    <t>mkqa-7045918283731371910</t>
  </si>
  <si>
    <t>where is the new york jets stadium located</t>
  </si>
  <si>
    <t>di mana stadium new york jets terletak</t>
  </si>
  <si>
    <t>New Jersey | Garden State | NJ | State of New Jersey | Jersey | New Jersey, United States | East Rutherford | United States of America | U.S.A. | the USA | the United States | U. S. A. | USA | US of A | the US | United States | U. S. | U.S. | America | the United States of America | Amerika Syarikat | Amerika | Rutherford Timur</t>
  </si>
  <si>
    <t>MetLife Stadium: East Rutherford, New Jersey. Note: accepted answers include 'United States'/'America'.</t>
  </si>
  <si>
    <t>mkqa-7206401913172017202</t>
  </si>
  <si>
    <t>when did the dallas cowboys win their first super bowl</t>
  </si>
  <si>
    <t>bilakah  the dallas cowboys menang dalam super bowl pertama</t>
  </si>
  <si>
    <t>1972-01-16</t>
  </si>
  <si>
    <t>1972-01-16 | 16/01/1972 | 16 01 1972 | 1972 January 16 | 1972 01 16 | 01-16-1972 | 01/16/1972 | 01 16 1972 | 16-01-1972 | 16 January 1972 | 1972 January, 16 | 1972 Januari 16 | 16 Januari 1972 | 1972</t>
  </si>
  <si>
    <t>Super Bowl VI: Cowboys beat the Dolphins 24-3 on 16 Jan 1972, their first Super Bowl win.</t>
  </si>
  <si>
    <t>mkqa-7251454935894005766</t>
  </si>
  <si>
    <t>first african country to play in fifa world cup</t>
  </si>
  <si>
    <t>negeri afrika pertama yang bermain dalam fifa world cup</t>
  </si>
  <si>
    <t>Egypt</t>
  </si>
  <si>
    <t>Egypt | Arab Rep. Egypt | Arab Republic of Egypt | Rep. Egypt | EGY | Republic of Egypt | Mesir</t>
  </si>
  <si>
    <t>Egypt national team: 'the first African country to qualify for the World Cup' (1934).</t>
  </si>
  <si>
    <t>mkqa-7350075231654298286</t>
  </si>
  <si>
    <t>when did they start wearing helmets in hockey</t>
  </si>
  <si>
    <t>bilakah mereka mula memakai topi keledar dalam hoki</t>
  </si>
  <si>
    <t>1979</t>
  </si>
  <si>
    <t>Keep: no, several valid answers: helmets were worn long before the NHL made them mandatory in 1979. | Answer key: Hockey helmet: mandatory for incoming NHL players from 1979. Note: the question doesn't say NHL.</t>
  </si>
  <si>
    <t>mkqa-7551085171198159400</t>
  </si>
  <si>
    <t>what is the name of cricket stadium in chennai</t>
  </si>
  <si>
    <t>apakah nama stadium kriket di chennai</t>
  </si>
  <si>
    <t>M. A. Chidambaram Stadium</t>
  </si>
  <si>
    <t>M. A. Chidambaram Stadium | Stadium M. A. Chidambaram</t>
  </si>
  <si>
    <t>M. A. Chidambaram Stadium: 'a cricket stadium in Chepauk, Chennai.'</t>
  </si>
  <si>
    <t>mkqa-7607072435945134409</t>
  </si>
  <si>
    <t>what is the size of a normal basketball</t>
  </si>
  <si>
    <t>berapakah saiz bola keranjang biasa</t>
  </si>
  <si>
    <t>29.5 inches</t>
  </si>
  <si>
    <t>29.5 inches | 29.5 Inci</t>
  </si>
  <si>
    <t>Keep: no, several valid answers: 'size' could be size 7, 29.5 in around, or about 9.4 in across. | Answer key: Basketball (ball): a size 7 ball is 29.5-30.3 in around, so 29.5 is the low end; 'normal' is a little vague.</t>
  </si>
  <si>
    <t>mkqa-7729788736158497569</t>
  </si>
  <si>
    <t>former world number one tennis player who coached roger federer in 2014</t>
  </si>
  <si>
    <t>bekas pemain tenis dunia pertama yang melatih roger federer pada tahun 2014</t>
  </si>
  <si>
    <t>Stefan Edberg</t>
  </si>
  <si>
    <t>Roger Federer: Stefan Edberg became co-coach in Dec 2013, for the 2014 season.</t>
  </si>
  <si>
    <t>mkqa-783256991872557217</t>
  </si>
  <si>
    <t>who won the baseball world series in 2017</t>
  </si>
  <si>
    <t>siapa yang memenangi dunia siri besbol pada tahun 2017</t>
  </si>
  <si>
    <t>Houston Astros</t>
  </si>
  <si>
    <t>Houston Astros | Astros | Colt .45's | 'Stros | Houston Colt .45's</t>
  </si>
  <si>
    <t>2017 World Series: Houston Astros beat the Dodgers 4-3.</t>
  </si>
  <si>
    <t>mkqa-8042930889011365875</t>
  </si>
  <si>
    <t>how many players are on a team in soccer</t>
  </si>
  <si>
    <t>berapakah pemain di dalam satu pasukan bola sepak</t>
  </si>
  <si>
    <t>11.0</t>
  </si>
  <si>
    <t>11.0 | 11</t>
  </si>
  <si>
    <t>Association football: 'a maximum of eleven players (excluding substitutes).'</t>
  </si>
  <si>
    <t>mkqa-8134198982106642115</t>
  </si>
  <si>
    <t>when was stephen curry drafted to the nba</t>
  </si>
  <si>
    <t>bilakah stephen curry dimasukkan ke nba</t>
  </si>
  <si>
    <t>2009</t>
  </si>
  <si>
    <t>Stephen Curry: 7th overall pick in the 2009 NBA draft.</t>
  </si>
  <si>
    <t>mkqa-8216441455256792595</t>
  </si>
  <si>
    <t>who won rookie of the year nba 1997</t>
  </si>
  <si>
    <t>siapakah yang memenangi rookie of the year nba 1997</t>
  </si>
  <si>
    <t>Allen Iverson</t>
  </si>
  <si>
    <t>Allen Iverson: 1996-97 NBA Rookie of the Year. Kept by reading '1997' as the award given in 1997 (1996-97 season).</t>
  </si>
  <si>
    <t>mkqa-846466415522403319</t>
  </si>
  <si>
    <t>when was michael jordan drafted to the nba</t>
  </si>
  <si>
    <t>bilakah michael jordan disusun ke dalam nba</t>
  </si>
  <si>
    <t>1984</t>
  </si>
  <si>
    <t>Michael Jordan: drafted 3rd overall in 1984.</t>
  </si>
  <si>
    <t>mkqa-8512969563249507975</t>
  </si>
  <si>
    <t>how many games in a premier league season</t>
  </si>
  <si>
    <t>berapakah permainan di dalam satu musim liga perdana</t>
  </si>
  <si>
    <t>38.0</t>
  </si>
  <si>
    <t>38.0 | 38 | 380.0 | 380</t>
  </si>
  <si>
    <t>Premier League: each club plays 38 matches (380 in total).</t>
  </si>
  <si>
    <t>mkqa-854864674245683514</t>
  </si>
  <si>
    <t>who did the miami dolphins beat in 1972 super bowl</t>
  </si>
  <si>
    <t>siapakah yang dikalahkan oleh miami dolphins dalam super bowl 1972</t>
  </si>
  <si>
    <t>Washington Redskins</t>
  </si>
  <si>
    <t>Washington Redskins | Boston Redskins</t>
  </si>
  <si>
    <t>Super Bowl VII: Dolphins beat Washington 14-7 on 14 Jan 1973 (1972 season). Note: the Super Bowl played in 1972 (VI) was a Dolphins loss to Dallas, so '1972 super bowl' is ambiguous. Kept: 'beat' makes it clear, since the Dolphins lost the January 1972 game.</t>
  </si>
  <si>
    <t>mkqa-8932123726840701389</t>
  </si>
  <si>
    <t>where is the 2020 summer olympics going to be held</t>
  </si>
  <si>
    <t>di manakah sukan olimpik musim panas 2020 akan diadakan</t>
  </si>
  <si>
    <t>Tokyo</t>
  </si>
  <si>
    <t>Tokyo | Tokyo Metropolis | Tokyo Prefecture | Tōkyō-to | Tôkyô-to | Tokyo Metropolitan prefecture | Tôkyô | Tokyo-to | Tōkyō | Tokio | Japan | JPN | State of Japan | Nihon | Nippon-koku | JAP | Land of the Rising Sun | Nihon-koku | Nippon | Jepun | Negara Matahari Terbit</t>
  </si>
  <si>
    <t>2020 Summer Olympics: Tokyo (held July-August 2021).</t>
  </si>
  <si>
    <t>mkqa-9193607661159717976</t>
  </si>
  <si>
    <t>how many players are on the nfl roster</t>
  </si>
  <si>
    <t>berapa pemainkah dalam roster nfl</t>
  </si>
  <si>
    <t>53.0</t>
  </si>
  <si>
    <t>53.0 | 53</t>
  </si>
  <si>
    <t>Keep: no, several valid answers: 53 on the active roster, up to 55 with call-ups, 48 active on game day. | Answer key: Practice squad page: '53-man active roster'. Note: the NFL page says up to 55 on the roster with practice-squad call-ups and 48 active on game day, so the question is ambiguous.</t>
  </si>
  <si>
    <t>mkqa-9212297869559207709</t>
  </si>
  <si>
    <t>how tall is a middle school basketball hoop</t>
  </si>
  <si>
    <t>berapa tinggi gelung bola keranjang sekolah menengah</t>
  </si>
  <si>
    <t>10.0 feet</t>
  </si>
  <si>
    <t>10.0 feet | 10 feet | 10.0 Kaki | 10 Kaki</t>
  </si>
  <si>
    <t>Basketball: the rim is 10 ft 'at almost all levels'; middle school is not mentioned specifically.</t>
  </si>
  <si>
    <t>MKQA example ID</t>
  </si>
  <si>
    <t>MKQA answer</t>
  </si>
  <si>
    <t>Claude's reason for leaving it out</t>
  </si>
  <si>
    <t>Agree it should be left out? (yes / no)</t>
  </si>
  <si>
    <t>-1532791886278577501</t>
  </si>
  <si>
    <t>who has the most gold medals in the olympics</t>
  </si>
  <si>
    <t>Michael Phelps</t>
  </si>
  <si>
    <t>no: record or ranking (can change)</t>
  </si>
  <si>
    <t>Record that can change.</t>
  </si>
  <si>
    <t>-2810862404363674386</t>
  </si>
  <si>
    <t>when was the last time the hornets made the playoffs</t>
  </si>
  <si>
    <t>2015</t>
  </si>
  <si>
    <t>no: time-sensitive wording (answer changes over time)</t>
  </si>
  <si>
    <t>'Last time' wording, so the answer changes over time.</t>
  </si>
  <si>
    <t>-3015518113417686341</t>
  </si>
  <si>
    <t>when did the three point line start in basketball</t>
  </si>
  <si>
    <t>no: several correct answers</t>
  </si>
  <si>
    <t>Several correct answers depending on the league (ABL, ABA, NBA, college).</t>
  </si>
  <si>
    <t>-3524033522938130487</t>
  </si>
  <si>
    <t>who won the playoffs for the super bowl</t>
  </si>
  <si>
    <t>Arthurs</t>
  </si>
  <si>
    <t>no: gold answer looks wrong or out of date</t>
  </si>
  <si>
    <t>Question is unclear and the answer 'Arthurs' makes no sense.</t>
  </si>
  <si>
    <t>-3620339721203426061</t>
  </si>
  <si>
    <t>where is the little league world series played at</t>
  </si>
  <si>
    <t>no: duplicate (same fact as example_id -9122844704265840510)</t>
  </si>
  <si>
    <t>Same fact as the kept Little League World Series location question.</t>
  </si>
  <si>
    <t>-4007696326689737656</t>
  </si>
  <si>
    <t>how many champions league did zidane won as a coach</t>
  </si>
  <si>
    <t>3.0</t>
  </si>
  <si>
    <t>no: current role, team or contract (changes over time)</t>
  </si>
  <si>
    <t>A career total that could still change if he coaches a club again (listed as 'current role', but 'count that can change' fits better).</t>
  </si>
  <si>
    <t>-5027877953586573120</t>
  </si>
  <si>
    <t>who coaches san diego state mens basketball team</t>
  </si>
  <si>
    <t>Brian Dutcher</t>
  </si>
  <si>
    <t>Current coach, which changes over time.</t>
  </si>
  <si>
    <t>-5144828129806748354</t>
  </si>
  <si>
    <t>athletes that compete in both winter and summer olympics</t>
  </si>
  <si>
    <t>Christa Luding</t>
  </si>
  <si>
    <t>no: asks for a list (several correct answers)</t>
  </si>
  <si>
    <t>Asks for a list, so many correct answers.</t>
  </si>
  <si>
    <t>-5379350041754676016</t>
  </si>
  <si>
    <t>when was the last time the bruins won the stanley cup</t>
  </si>
  <si>
    <t>2011</t>
  </si>
  <si>
    <t>'Last time' wording, so the answer can change.</t>
  </si>
  <si>
    <t>-6905205205636703090</t>
  </si>
  <si>
    <t>how many nba teams have never won a championship</t>
  </si>
  <si>
    <t>no: count or figure that can change</t>
  </si>
  <si>
    <t>A count that changes whenever a new team wins a title.</t>
  </si>
  <si>
    <t>-7071119306118885926</t>
  </si>
  <si>
    <t>who is going to host next world cup</t>
  </si>
  <si>
    <t>Qatar</t>
  </si>
  <si>
    <t>'Next' World Cup changes over time; Qatar is out of date.</t>
  </si>
  <si>
    <t>-8048679655090084023</t>
  </si>
  <si>
    <t>who is the captain of the bangladesh cricket team</t>
  </si>
  <si>
    <t>Shakib Al Hasan</t>
  </si>
  <si>
    <t>Current captain, which changes over time.</t>
  </si>
  <si>
    <t>-806008116627337296</t>
  </si>
  <si>
    <t>who is the starting quarterback for the san francisco 49ers 2017 season</t>
  </si>
  <si>
    <t>Jimmy Garoppolo</t>
  </si>
  <si>
    <t>Agree to leave out, but for a different reason: the 49ers started three quarterbacks in 2017 (Hoyer, Beathard, Garoppolo), so there is no single answer.</t>
  </si>
  <si>
    <t>-819108407581507274</t>
  </si>
  <si>
    <t>when did the texas rangers go to the world series</t>
  </si>
  <si>
    <t>2010</t>
  </si>
  <si>
    <t>no: team won more than once or could win again, so 'when' has several answers</t>
  </si>
  <si>
    <t>The Rangers played in several World Series (2010, 2011, 2023).</t>
  </si>
  <si>
    <t>-8201217995147652681</t>
  </si>
  <si>
    <t>who has the most goals in champions league history</t>
  </si>
  <si>
    <t>Cristiano Ronaldo</t>
  </si>
  <si>
    <t>1394110700386616818</t>
  </si>
  <si>
    <t>who hit the most homeruns in baseball history</t>
  </si>
  <si>
    <t>Barry Bonds</t>
  </si>
  <si>
    <t>1467157978947831289</t>
  </si>
  <si>
    <t>who is the oldest nba player in history</t>
  </si>
  <si>
    <t>Nat Hickey</t>
  </si>
  <si>
    <t>Record that can change, and 'oldest' is ambiguous (age at debut or at last game).</t>
  </si>
  <si>
    <t>1631093536889428211</t>
  </si>
  <si>
    <t>when will the 2023 rugby world cup be held</t>
  </si>
  <si>
    <t>2023</t>
  </si>
  <si>
    <t>The answer '2023' is already in the question, so it tests nothing.</t>
  </si>
  <si>
    <t>2355046656576629670</t>
  </si>
  <si>
    <t>who did denver broncos beat in the super bowl</t>
  </si>
  <si>
    <t>Carolina Panthers</t>
  </si>
  <si>
    <t>The Broncos have won more than one Super Bowl, so there are several answers.</t>
  </si>
  <si>
    <t>3343528535701725949</t>
  </si>
  <si>
    <t>where was the first game of baseball played</t>
  </si>
  <si>
    <t>no: unclear wording or disputed answer</t>
  </si>
  <si>
    <t>Disputed answer.</t>
  </si>
  <si>
    <t>3915783006057137863</t>
  </si>
  <si>
    <t>where is the next fifa world cup in 2022</t>
  </si>
  <si>
    <t>Could be kept: the year 2022 is in the question, so the answer (Qatar) never changes. This matches the kept question 'where will the olympics be held in 2022'.</t>
  </si>
  <si>
    <t>4302220306942279380</t>
  </si>
  <si>
    <t>who is the coach for the cleveland cavaliers</t>
  </si>
  <si>
    <t>John Beilein</t>
  </si>
  <si>
    <t>441237563640079561</t>
  </si>
  <si>
    <t>whats the record for most wins in a row mlb</t>
  </si>
  <si>
    <t>4511000552039308899</t>
  </si>
  <si>
    <t>how old was lebron james when he got drafted to the nba</t>
  </si>
  <si>
    <t>19.0 years</t>
  </si>
  <si>
    <t>The gold answer is wrong: LeBron James (born 30 Dec 1984) was 18 at the June 2003 draft, not 19.</t>
  </si>
  <si>
    <t>4702839898066253410</t>
  </si>
  <si>
    <t>who got promoted to the premier league last year</t>
  </si>
  <si>
    <t>Cardiff City F.C.</t>
  </si>
  <si>
    <t>'Last year' wording, so the answer changes over time.</t>
  </si>
  <si>
    <t>5386242575660267352</t>
  </si>
  <si>
    <t>who has scored the most runs in mlb history</t>
  </si>
  <si>
    <t>Chicago Cubs</t>
  </si>
  <si>
    <t>Record that can change, and the answer (a team) doesn't match a question that likely means a player.</t>
  </si>
  <si>
    <t>6035966620749378758</t>
  </si>
  <si>
    <t>who has the most strikeouts in mlb history</t>
  </si>
  <si>
    <t>Nolan Ryan</t>
  </si>
  <si>
    <t>Record that can change, and ambiguous (pitcher strikeouts or batter strikeouts).</t>
  </si>
  <si>
    <t>7960403399608384663</t>
  </si>
  <si>
    <t>when was the last time the lakers made the playoffs</t>
  </si>
  <si>
    <t>2013</t>
  </si>
  <si>
    <t>8406403268461972798</t>
  </si>
  <si>
    <t>what nfl team has the most wins in history</t>
  </si>
  <si>
    <t>Chicago Bears</t>
  </si>
  <si>
    <t>8930562165757695587</t>
  </si>
  <si>
    <t>when was the last time peru was in the world cup</t>
  </si>
  <si>
    <t>2018</t>
  </si>
  <si>
    <t>English Wikipedia: gives birth date 21 Aug 1985, but the birthplace field is blank. No Malay Wikipedia page exists for this player. Could not be verified on Wikipedia.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</si>
</sst>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59595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u/>
      <sz val="11"/>
      <color rgb="FF0563C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ikidata.org/wiki/Q23542552" TargetMode="External"/><Relationship Id="rId18" Type="http://schemas.openxmlformats.org/officeDocument/2006/relationships/hyperlink" Target="https://www.wikidata.org/wiki/Special:GoToLinkedPage/mswiki/Q2993336" TargetMode="External"/><Relationship Id="rId26" Type="http://schemas.openxmlformats.org/officeDocument/2006/relationships/hyperlink" Target="https://www.wikidata.org/wiki/Special:GoToLinkedPage/enwiki/Q6893958" TargetMode="External"/><Relationship Id="rId39" Type="http://schemas.openxmlformats.org/officeDocument/2006/relationships/hyperlink" Target="https://www.wikidata.org/wiki/Special:GoToLinkedPage/mswiki/Q1615621" TargetMode="External"/><Relationship Id="rId21" Type="http://schemas.openxmlformats.org/officeDocument/2006/relationships/hyperlink" Target="https://www.wikidata.org/wiki/Special:GoToLinkedPage/mswiki/Q3045672" TargetMode="External"/><Relationship Id="rId34" Type="http://schemas.openxmlformats.org/officeDocument/2006/relationships/hyperlink" Target="https://www.wikidata.org/wiki/Q1464679" TargetMode="External"/><Relationship Id="rId42" Type="http://schemas.openxmlformats.org/officeDocument/2006/relationships/hyperlink" Target="https://www.wikidata.org/wiki/Special:GoToLinkedPage/mswiki/Q17285824" TargetMode="External"/><Relationship Id="rId47" Type="http://schemas.openxmlformats.org/officeDocument/2006/relationships/hyperlink" Target="https://www.wikidata.org/wiki/Special:GoToLinkedPage/enwiki/Q2824953" TargetMode="External"/><Relationship Id="rId50" Type="http://schemas.openxmlformats.org/officeDocument/2006/relationships/hyperlink" Target="https://www.wikidata.org/wiki/Special:GoToLinkedPage/enwiki/Q380515" TargetMode="External"/><Relationship Id="rId55" Type="http://schemas.openxmlformats.org/officeDocument/2006/relationships/hyperlink" Target="https://www.wikidata.org/wiki/Q463317" TargetMode="External"/><Relationship Id="rId7" Type="http://schemas.openxmlformats.org/officeDocument/2006/relationships/hyperlink" Target="https://www.wikidata.org/wiki/Q19899321" TargetMode="External"/><Relationship Id="rId2" Type="http://schemas.openxmlformats.org/officeDocument/2006/relationships/hyperlink" Target="https://www.wikidata.org/wiki/Special:GoToLinkedPage/enwiki/Q1524396" TargetMode="External"/><Relationship Id="rId16" Type="http://schemas.openxmlformats.org/officeDocument/2006/relationships/hyperlink" Target="https://www.wikidata.org/wiki/Q2993336" TargetMode="External"/><Relationship Id="rId29" Type="http://schemas.openxmlformats.org/officeDocument/2006/relationships/hyperlink" Target="https://www.wikidata.org/wiki/Special:GoToLinkedPage/enwiki/Q7967029" TargetMode="External"/><Relationship Id="rId11" Type="http://schemas.openxmlformats.org/officeDocument/2006/relationships/hyperlink" Target="https://www.wikidata.org/wiki/Special:GoToLinkedPage/enwiki/Q2046312" TargetMode="External"/><Relationship Id="rId24" Type="http://schemas.openxmlformats.org/officeDocument/2006/relationships/hyperlink" Target="https://www.wikidata.org/wiki/Special:GoToLinkedPage/mswiki/Q6893888" TargetMode="External"/><Relationship Id="rId32" Type="http://schemas.openxmlformats.org/officeDocument/2006/relationships/hyperlink" Target="https://www.wikidata.org/wiki/Special:GoToLinkedPage/enwiki/Q131004971" TargetMode="External"/><Relationship Id="rId37" Type="http://schemas.openxmlformats.org/officeDocument/2006/relationships/hyperlink" Target="https://www.wikidata.org/wiki/Q1615621" TargetMode="External"/><Relationship Id="rId40" Type="http://schemas.openxmlformats.org/officeDocument/2006/relationships/hyperlink" Target="https://www.wikidata.org/wiki/Q17285824" TargetMode="External"/><Relationship Id="rId45" Type="http://schemas.openxmlformats.org/officeDocument/2006/relationships/hyperlink" Target="https://www.wikidata.org/wiki/Special:GoToLinkedPage/mswiki/Q2736555" TargetMode="External"/><Relationship Id="rId53" Type="http://schemas.openxmlformats.org/officeDocument/2006/relationships/hyperlink" Target="https://www.wikidata.org/wiki/Special:GoToLinkedPage/enwiki/Q4401184" TargetMode="External"/><Relationship Id="rId58" Type="http://schemas.openxmlformats.org/officeDocument/2006/relationships/hyperlink" Target="https://www.wikidata.org/wiki/Q51683022" TargetMode="External"/><Relationship Id="rId5" Type="http://schemas.openxmlformats.org/officeDocument/2006/relationships/hyperlink" Target="https://www.wikidata.org/wiki/Special:GoToLinkedPage/enwiki/Q16232564" TargetMode="External"/><Relationship Id="rId19" Type="http://schemas.openxmlformats.org/officeDocument/2006/relationships/hyperlink" Target="https://www.wikidata.org/wiki/Q3045672" TargetMode="External"/><Relationship Id="rId4" Type="http://schemas.openxmlformats.org/officeDocument/2006/relationships/hyperlink" Target="https://www.wikidata.org/wiki/Q16232564" TargetMode="External"/><Relationship Id="rId9" Type="http://schemas.openxmlformats.org/officeDocument/2006/relationships/hyperlink" Target="https://www.wikidata.org/wiki/Special:GoToLinkedPage/mswiki/Q19899321" TargetMode="External"/><Relationship Id="rId14" Type="http://schemas.openxmlformats.org/officeDocument/2006/relationships/hyperlink" Target="https://www.wikidata.org/wiki/Special:GoToLinkedPage/enwiki/Q23542552" TargetMode="External"/><Relationship Id="rId22" Type="http://schemas.openxmlformats.org/officeDocument/2006/relationships/hyperlink" Target="https://www.wikidata.org/wiki/Q6893888" TargetMode="External"/><Relationship Id="rId27" Type="http://schemas.openxmlformats.org/officeDocument/2006/relationships/hyperlink" Target="https://www.wikidata.org/wiki/Special:GoToLinkedPage/mswiki/Q6893958" TargetMode="External"/><Relationship Id="rId30" Type="http://schemas.openxmlformats.org/officeDocument/2006/relationships/hyperlink" Target="https://www.wikidata.org/wiki/Special:GoToLinkedPage/mswiki/Q7967029" TargetMode="External"/><Relationship Id="rId35" Type="http://schemas.openxmlformats.org/officeDocument/2006/relationships/hyperlink" Target="https://www.wikidata.org/wiki/Special:GoToLinkedPage/enwiki/Q1464679" TargetMode="External"/><Relationship Id="rId43" Type="http://schemas.openxmlformats.org/officeDocument/2006/relationships/hyperlink" Target="https://www.wikidata.org/wiki/Q2736555" TargetMode="External"/><Relationship Id="rId48" Type="http://schemas.openxmlformats.org/officeDocument/2006/relationships/hyperlink" Target="https://www.wikidata.org/wiki/Special:GoToLinkedPage/mswiki/Q2824953" TargetMode="External"/><Relationship Id="rId56" Type="http://schemas.openxmlformats.org/officeDocument/2006/relationships/hyperlink" Target="https://www.wikidata.org/wiki/Special:GoToLinkedPage/enwiki/Q463317" TargetMode="External"/><Relationship Id="rId8" Type="http://schemas.openxmlformats.org/officeDocument/2006/relationships/hyperlink" Target="https://www.wikidata.org/wiki/Special:GoToLinkedPage/enwiki/Q19899321" TargetMode="External"/><Relationship Id="rId51" Type="http://schemas.openxmlformats.org/officeDocument/2006/relationships/hyperlink" Target="https://www.wikidata.org/wiki/Special:GoToLinkedPage/mswiki/Q380515" TargetMode="External"/><Relationship Id="rId3" Type="http://schemas.openxmlformats.org/officeDocument/2006/relationships/hyperlink" Target="https://www.wikidata.org/wiki/Special:GoToLinkedPage/mswiki/Q1524396" TargetMode="External"/><Relationship Id="rId12" Type="http://schemas.openxmlformats.org/officeDocument/2006/relationships/hyperlink" Target="https://www.wikidata.org/wiki/Special:GoToLinkedPage/mswiki/Q2046312" TargetMode="External"/><Relationship Id="rId17" Type="http://schemas.openxmlformats.org/officeDocument/2006/relationships/hyperlink" Target="https://www.wikidata.org/wiki/Special:GoToLinkedPage/enwiki/Q2993336" TargetMode="External"/><Relationship Id="rId25" Type="http://schemas.openxmlformats.org/officeDocument/2006/relationships/hyperlink" Target="https://www.wikidata.org/wiki/Q6893958" TargetMode="External"/><Relationship Id="rId33" Type="http://schemas.openxmlformats.org/officeDocument/2006/relationships/hyperlink" Target="https://www.wikidata.org/wiki/Special:GoToLinkedPage/mswiki/Q131004971" TargetMode="External"/><Relationship Id="rId38" Type="http://schemas.openxmlformats.org/officeDocument/2006/relationships/hyperlink" Target="https://www.wikidata.org/wiki/Special:GoToLinkedPage/enwiki/Q1615621" TargetMode="External"/><Relationship Id="rId46" Type="http://schemas.openxmlformats.org/officeDocument/2006/relationships/hyperlink" Target="https://www.wikidata.org/wiki/Q2824953" TargetMode="External"/><Relationship Id="rId59" Type="http://schemas.openxmlformats.org/officeDocument/2006/relationships/hyperlink" Target="https://www.wikidata.org/wiki/Special:GoToLinkedPage/enwiki/Q51683022" TargetMode="External"/><Relationship Id="rId20" Type="http://schemas.openxmlformats.org/officeDocument/2006/relationships/hyperlink" Target="https://www.wikidata.org/wiki/Special:GoToLinkedPage/enwiki/Q3045672" TargetMode="External"/><Relationship Id="rId41" Type="http://schemas.openxmlformats.org/officeDocument/2006/relationships/hyperlink" Target="https://www.wikidata.org/wiki/Special:GoToLinkedPage/enwiki/Q17285824" TargetMode="External"/><Relationship Id="rId54" Type="http://schemas.openxmlformats.org/officeDocument/2006/relationships/hyperlink" Target="https://www.wikidata.org/wiki/Special:GoToLinkedPage/mswiki/Q4401184" TargetMode="External"/><Relationship Id="rId1" Type="http://schemas.openxmlformats.org/officeDocument/2006/relationships/hyperlink" Target="https://www.wikidata.org/wiki/Q1524396" TargetMode="External"/><Relationship Id="rId6" Type="http://schemas.openxmlformats.org/officeDocument/2006/relationships/hyperlink" Target="https://www.wikidata.org/wiki/Special:GoToLinkedPage/mswiki/Q16232564" TargetMode="External"/><Relationship Id="rId15" Type="http://schemas.openxmlformats.org/officeDocument/2006/relationships/hyperlink" Target="https://www.wikidata.org/wiki/Special:GoToLinkedPage/mswiki/Q23542552" TargetMode="External"/><Relationship Id="rId23" Type="http://schemas.openxmlformats.org/officeDocument/2006/relationships/hyperlink" Target="https://www.wikidata.org/wiki/Special:GoToLinkedPage/enwiki/Q6893888" TargetMode="External"/><Relationship Id="rId28" Type="http://schemas.openxmlformats.org/officeDocument/2006/relationships/hyperlink" Target="https://www.wikidata.org/wiki/Q7967029" TargetMode="External"/><Relationship Id="rId36" Type="http://schemas.openxmlformats.org/officeDocument/2006/relationships/hyperlink" Target="https://www.wikidata.org/wiki/Special:GoToLinkedPage/mswiki/Q1464679" TargetMode="External"/><Relationship Id="rId49" Type="http://schemas.openxmlformats.org/officeDocument/2006/relationships/hyperlink" Target="https://www.wikidata.org/wiki/Q380515" TargetMode="External"/><Relationship Id="rId57" Type="http://schemas.openxmlformats.org/officeDocument/2006/relationships/hyperlink" Target="https://www.wikidata.org/wiki/Special:GoToLinkedPage/mswiki/Q463317" TargetMode="External"/><Relationship Id="rId10" Type="http://schemas.openxmlformats.org/officeDocument/2006/relationships/hyperlink" Target="https://www.wikidata.org/wiki/Q2046312" TargetMode="External"/><Relationship Id="rId31" Type="http://schemas.openxmlformats.org/officeDocument/2006/relationships/hyperlink" Target="https://www.wikidata.org/wiki/Q131004971" TargetMode="External"/><Relationship Id="rId44" Type="http://schemas.openxmlformats.org/officeDocument/2006/relationships/hyperlink" Target="https://www.wikidata.org/wiki/Special:GoToLinkedPage/enwiki/Q2736555" TargetMode="External"/><Relationship Id="rId52" Type="http://schemas.openxmlformats.org/officeDocument/2006/relationships/hyperlink" Target="https://www.wikidata.org/wiki/Q4401184" TargetMode="External"/><Relationship Id="rId60" Type="http://schemas.openxmlformats.org/officeDocument/2006/relationships/hyperlink" Target="https://www.wikidata.org/wiki/Special:GoToLinkedPage/mswiki/Q51683022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/index.php?search=who%20won%20the%20wimbledon%20men%27s%20singles%20title%202017" TargetMode="External"/><Relationship Id="rId21" Type="http://schemas.openxmlformats.org/officeDocument/2006/relationships/hyperlink" Target="https://en.wikipedia.org/w/index.php?search=how%20many%20rounds%20are%20in%20the%20nfl%20draft" TargetMode="External"/><Relationship Id="rId42" Type="http://schemas.openxmlformats.org/officeDocument/2006/relationships/hyperlink" Target="https://en.wikipedia.org/w/index.php?search=how%20many%20minutes%20are%20in%20a%20boxing%20round" TargetMode="External"/><Relationship Id="rId47" Type="http://schemas.openxmlformats.org/officeDocument/2006/relationships/hyperlink" Target="https://en.wikipedia.org/w/index.php?search=where%20is%20the%20john%20deere%20golf%20classic%20being%20held" TargetMode="External"/><Relationship Id="rId63" Type="http://schemas.openxmlformats.org/officeDocument/2006/relationships/hyperlink" Target="https://en.wikipedia.org/w/index.php?search=who%20won%20the%20tour%20de%20france%20in%201985" TargetMode="External"/><Relationship Id="rId68" Type="http://schemas.openxmlformats.org/officeDocument/2006/relationships/hyperlink" Target="https://en.wikipedia.org/w/index.php?search=how%20many%20nba%20games%20does%20each%20team%20play" TargetMode="External"/><Relationship Id="rId84" Type="http://schemas.openxmlformats.org/officeDocument/2006/relationships/hyperlink" Target="https://en.wikipedia.org/w/index.php?search=how%20many%20games%20in%20a%20premier%20league%20season" TargetMode="External"/><Relationship Id="rId16" Type="http://schemas.openxmlformats.org/officeDocument/2006/relationships/hyperlink" Target="https://en.wikipedia.org/w/index.php?search=when%20does%20the%20american%20football%20season%20start%202018" TargetMode="External"/><Relationship Id="rId11" Type="http://schemas.openxmlformats.org/officeDocument/2006/relationships/hyperlink" Target="https://en.wikipedia.org/w/index.php?search=who%20won%20the%20mlb%20world%20series%20in%202002" TargetMode="External"/><Relationship Id="rId32" Type="http://schemas.openxmlformats.org/officeDocument/2006/relationships/hyperlink" Target="https://en.wikipedia.org/w/index.php?search=when%20did%20free%20agency%20start%20in%20the%20nba" TargetMode="External"/><Relationship Id="rId37" Type="http://schemas.openxmlformats.org/officeDocument/2006/relationships/hyperlink" Target="https://en.wikipedia.org/w/index.php?search=where%20are%20they%20playing%20the%20little%20league%20world%20series" TargetMode="External"/><Relationship Id="rId53" Type="http://schemas.openxmlformats.org/officeDocument/2006/relationships/hyperlink" Target="https://en.wikipedia.org/w/index.php?search=the%20first%20indian%20man%20to%20reach%20the%20final%20of%20an%20olympic%20athletic%20event" TargetMode="External"/><Relationship Id="rId58" Type="http://schemas.openxmlformats.org/officeDocument/2006/relationships/hyperlink" Target="https://en.wikipedia.org/w/index.php?search=who%20ran%2026%20miles%20between%20marathon%20and%20athens" TargetMode="External"/><Relationship Id="rId74" Type="http://schemas.openxmlformats.org/officeDocument/2006/relationships/hyperlink" Target="https://en.wikipedia.org/w/index.php?search=first%20african%20country%20to%20play%20in%20fifa%20world%20cup" TargetMode="External"/><Relationship Id="rId79" Type="http://schemas.openxmlformats.org/officeDocument/2006/relationships/hyperlink" Target="https://en.wikipedia.org/w/index.php?search=who%20won%20the%20baseball%20world%20series%20in%202017" TargetMode="External"/><Relationship Id="rId5" Type="http://schemas.openxmlformats.org/officeDocument/2006/relationships/hyperlink" Target="https://en.wikipedia.org/w/index.php?search=where%20are%20the%20olympics%20being%20held%20in%202024" TargetMode="External"/><Relationship Id="rId19" Type="http://schemas.openxmlformats.org/officeDocument/2006/relationships/hyperlink" Target="https://en.wikipedia.org/w/index.php?search=who%20won%20the%20tour%20de%20france%20in%202016" TargetMode="External"/><Relationship Id="rId14" Type="http://schemas.openxmlformats.org/officeDocument/2006/relationships/hyperlink" Target="https://en.wikipedia.org/w/index.php?search=when%20did%20aaron%20judge%20make%20his%20mlb%20debut" TargetMode="External"/><Relationship Id="rId22" Type="http://schemas.openxmlformats.org/officeDocument/2006/relationships/hyperlink" Target="https://en.wikipedia.org/w/index.php?search=where%20does%20the%20tour%20de%20france%20take%20place" TargetMode="External"/><Relationship Id="rId27" Type="http://schemas.openxmlformats.org/officeDocument/2006/relationships/hyperlink" Target="https://en.wikipedia.org/w/index.php?search=how%20many%20stages%20are%20there%20to%20the%20tour%20de%20france" TargetMode="External"/><Relationship Id="rId30" Type="http://schemas.openxmlformats.org/officeDocument/2006/relationships/hyperlink" Target="https://en.wikipedia.org/w/index.php?search=who%20won%20the%202017%20nba%20rookie%20of%20the%20year" TargetMode="External"/><Relationship Id="rId35" Type="http://schemas.openxmlformats.org/officeDocument/2006/relationships/hyperlink" Target="https://en.wikipedia.org/w/index.php?search=who%20is%20the%20super%20bowl%20trophy%20named%20after" TargetMode="External"/><Relationship Id="rId43" Type="http://schemas.openxmlformats.org/officeDocument/2006/relationships/hyperlink" Target="https://en.wikipedia.org/w/index.php?search=who%20is%20said%20to%20be%20father%20of%20modern%20olympics" TargetMode="External"/><Relationship Id="rId48" Type="http://schemas.openxmlformats.org/officeDocument/2006/relationships/hyperlink" Target="https://en.wikipedia.org/w/index.php?search=how%20many%20games%20in%20a%20professional%20baseball%20season" TargetMode="External"/><Relationship Id="rId56" Type="http://schemas.openxmlformats.org/officeDocument/2006/relationships/hyperlink" Target="https://en.wikipedia.org/w/index.php?search=where%20do%20the%20new%20york%20giants%20play%20football" TargetMode="External"/><Relationship Id="rId64" Type="http://schemas.openxmlformats.org/officeDocument/2006/relationships/hyperlink" Target="https://en.wikipedia.org/w/index.php?search=how%20many%20nba%20titles%20did%20michael%20jordan%20win" TargetMode="External"/><Relationship Id="rId69" Type="http://schemas.openxmlformats.org/officeDocument/2006/relationships/hyperlink" Target="https://en.wikipedia.org/w/index.php?search=who%20is%20the%20basketball%20player%20that%20went%20to%20north%20korea" TargetMode="External"/><Relationship Id="rId77" Type="http://schemas.openxmlformats.org/officeDocument/2006/relationships/hyperlink" Target="https://en.wikipedia.org/w/index.php?search=what%20is%20the%20size%20of%20a%20normal%20basketball" TargetMode="External"/><Relationship Id="rId8" Type="http://schemas.openxmlformats.org/officeDocument/2006/relationships/hyperlink" Target="https://en.wikipedia.org/w/index.php?search=when%20was%20the%20first%20time%20soccer%20was%20played%20in%20the%20olympics" TargetMode="External"/><Relationship Id="rId51" Type="http://schemas.openxmlformats.org/officeDocument/2006/relationships/hyperlink" Target="https://en.wikipedia.org/w/index.php?search=how%20many%20times%20did%20michael%20schumacher%20win%20the%20formula%20one%20world%20championship%20title" TargetMode="External"/><Relationship Id="rId72" Type="http://schemas.openxmlformats.org/officeDocument/2006/relationships/hyperlink" Target="https://en.wikipedia.org/w/index.php?search=where%20is%20the%20new%20york%20jets%20stadium%20located" TargetMode="External"/><Relationship Id="rId80" Type="http://schemas.openxmlformats.org/officeDocument/2006/relationships/hyperlink" Target="https://en.wikipedia.org/w/index.php?search=how%20many%20players%20are%20on%20a%20team%20in%20soccer" TargetMode="External"/><Relationship Id="rId85" Type="http://schemas.openxmlformats.org/officeDocument/2006/relationships/hyperlink" Target="https://en.wikipedia.org/w/index.php?search=who%20did%20the%20miami%20dolphins%20beat%20in%201972%20super%20bowl" TargetMode="External"/><Relationship Id="rId3" Type="http://schemas.openxmlformats.org/officeDocument/2006/relationships/hyperlink" Target="https://en.wikipedia.org/w/index.php?search=who%20scored%20a%20hat-trick%20in%20the%201966%20world%20cup%20final" TargetMode="External"/><Relationship Id="rId12" Type="http://schemas.openxmlformats.org/officeDocument/2006/relationships/hyperlink" Target="https://en.wikipedia.org/w/index.php?search=how%20many%20teams%20did%20shaq%20play%20for%20in%20the%20nba" TargetMode="External"/><Relationship Id="rId17" Type="http://schemas.openxmlformats.org/officeDocument/2006/relationships/hyperlink" Target="https://en.wikipedia.org/w/index.php?search=who%20won%20the%20first%20icc%20t20%20world%20cup" TargetMode="External"/><Relationship Id="rId25" Type="http://schemas.openxmlformats.org/officeDocument/2006/relationships/hyperlink" Target="https://en.wikipedia.org/w/index.php?search=who%20won%20the%201913%20us%20open%20golf%20tournament" TargetMode="External"/><Relationship Id="rId33" Type="http://schemas.openxmlformats.org/officeDocument/2006/relationships/hyperlink" Target="https://en.wikipedia.org/w/index.php?search=which%20nation%20is%20the%20fifa%202014%20world%20cup%20holder" TargetMode="External"/><Relationship Id="rId38" Type="http://schemas.openxmlformats.org/officeDocument/2006/relationships/hyperlink" Target="https://en.wikipedia.org/w/index.php?search=who%20won%20the%20little%20league%20world%20series%202018" TargetMode="External"/><Relationship Id="rId46" Type="http://schemas.openxmlformats.org/officeDocument/2006/relationships/hyperlink" Target="https://en.wikipedia.org/w/index.php?search=when%20was%20the%20kansas%20city%20royals%20stadium%20built" TargetMode="External"/><Relationship Id="rId59" Type="http://schemas.openxmlformats.org/officeDocument/2006/relationships/hyperlink" Target="https://en.wikipedia.org/w/index.php?search=who%20won%20the%20stanley%20cup%20finals%20in%202018" TargetMode="External"/><Relationship Id="rId67" Type="http://schemas.openxmlformats.org/officeDocument/2006/relationships/hyperlink" Target="https://en.wikipedia.org/w/index.php?search=who%20won%20the%20gold%20medal%20for%20ice%20hockey%202014" TargetMode="External"/><Relationship Id="rId20" Type="http://schemas.openxmlformats.org/officeDocument/2006/relationships/hyperlink" Target="https://en.wikipedia.org/w/index.php?search=when%20did%20tom%20brady%20start%20playing%20in%20the%20nfl" TargetMode="External"/><Relationship Id="rId41" Type="http://schemas.openxmlformats.org/officeDocument/2006/relationships/hyperlink" Target="https://en.wikipedia.org/w/index.php?search=who%20scored%20the%20national%20football%20league&#8217;s%20first%20two-point%20defensive%20conversion%20in%202015" TargetMode="External"/><Relationship Id="rId54" Type="http://schemas.openxmlformats.org/officeDocument/2006/relationships/hyperlink" Target="https://en.wikipedia.org/w/index.php?search=who%20pays%20the%20us%20women%27s%20soccer%20team" TargetMode="External"/><Relationship Id="rId62" Type="http://schemas.openxmlformats.org/officeDocument/2006/relationships/hyperlink" Target="https://en.wikipedia.org/w/index.php?search=when%20did%20the%20chicago%20bears%20join%20the%20nfl" TargetMode="External"/><Relationship Id="rId70" Type="http://schemas.openxmlformats.org/officeDocument/2006/relationships/hyperlink" Target="https://en.wikipedia.org/w/index.php?search=who%20won%20the%202015%20ncaa%20men%27s%20basketball%20championship" TargetMode="External"/><Relationship Id="rId75" Type="http://schemas.openxmlformats.org/officeDocument/2006/relationships/hyperlink" Target="https://en.wikipedia.org/w/index.php?search=when%20did%20they%20start%20wearing%20helmets%20in%20hockey" TargetMode="External"/><Relationship Id="rId83" Type="http://schemas.openxmlformats.org/officeDocument/2006/relationships/hyperlink" Target="https://en.wikipedia.org/w/index.php?search=when%20was%20michael%20jordan%20drafted%20to%20the%20nba" TargetMode="External"/><Relationship Id="rId88" Type="http://schemas.openxmlformats.org/officeDocument/2006/relationships/hyperlink" Target="https://en.wikipedia.org/w/index.php?search=how%20tall%20is%20a%20middle%20school%20basketball%20hoop" TargetMode="External"/><Relationship Id="rId1" Type="http://schemas.openxmlformats.org/officeDocument/2006/relationships/hyperlink" Target="https://en.wikipedia.org/w/index.php?search=who%20was%20the%20female%20tennis%20player%20that%20got%20stabbed" TargetMode="External"/><Relationship Id="rId6" Type="http://schemas.openxmlformats.org/officeDocument/2006/relationships/hyperlink" Target="https://en.wikipedia.org/w/index.php?search=who%20won%20the%201973%20battle%20of%20the%20sexes%20tennis%20match" TargetMode="External"/><Relationship Id="rId15" Type="http://schemas.openxmlformats.org/officeDocument/2006/relationships/hyperlink" Target="https://en.wikipedia.org/w/index.php?search=where%20will%20the%20olympics%20be%20held%20in%202022" TargetMode="External"/><Relationship Id="rId23" Type="http://schemas.openxmlformats.org/officeDocument/2006/relationships/hyperlink" Target="https://en.wikipedia.org/w/index.php?search=who%20had%20the%20most%20medals%20in%20the%202016%20olympics" TargetMode="External"/><Relationship Id="rId28" Type="http://schemas.openxmlformats.org/officeDocument/2006/relationships/hyperlink" Target="https://en.wikipedia.org/w/index.php?search=winner%20of%20women%27s%20single%20in%20badminton%20commonwealth%20games%202018" TargetMode="External"/><Relationship Id="rId36" Type="http://schemas.openxmlformats.org/officeDocument/2006/relationships/hyperlink" Target="https://en.wikipedia.org/w/index.php?search=where%20is%20the%20us%20open%20tennis%20tournament%20played" TargetMode="External"/><Relationship Id="rId49" Type="http://schemas.openxmlformats.org/officeDocument/2006/relationships/hyperlink" Target="https://en.wikipedia.org/w/index.php?search=how%20many%20teams%20make%20the%20playoffs%20in%20the%20nba" TargetMode="External"/><Relationship Id="rId57" Type="http://schemas.openxmlformats.org/officeDocument/2006/relationships/hyperlink" Target="https://en.wikipedia.org/w/index.php?search=who%20scored%20the%20first%20goal%20in%202010%20world%20cup" TargetMode="External"/><Relationship Id="rId10" Type="http://schemas.openxmlformats.org/officeDocument/2006/relationships/hyperlink" Target="https://en.wikipedia.org/w/index.php?search=how%20many%20medals%20did%20canada%20win%20at%20the%20vancouver%20olympics" TargetMode="External"/><Relationship Id="rId31" Type="http://schemas.openxmlformats.org/officeDocument/2006/relationships/hyperlink" Target="https://en.wikipedia.org/w/index.php?search=when%20did%20italy%20join%20the%205%20nations%20rugby" TargetMode="External"/><Relationship Id="rId44" Type="http://schemas.openxmlformats.org/officeDocument/2006/relationships/hyperlink" Target="https://en.wikipedia.org/w/index.php?search=who%20won%20the%20under%2017%20world%20cup%20in%20india" TargetMode="External"/><Relationship Id="rId52" Type="http://schemas.openxmlformats.org/officeDocument/2006/relationships/hyperlink" Target="https://en.wikipedia.org/w/index.php?search=when%20did%20pakistan%20win%20the%20olympic%20gold%20medal%20in%20hockey%20for%20the%20first%20time" TargetMode="External"/><Relationship Id="rId60" Type="http://schemas.openxmlformats.org/officeDocument/2006/relationships/hyperlink" Target="https://en.wikipedia.org/w/index.php?search=when%20did%20argentina%20win%20their%20first%20world%20cup" TargetMode="External"/><Relationship Id="rId65" Type="http://schemas.openxmlformats.org/officeDocument/2006/relationships/hyperlink" Target="https://en.wikipedia.org/w/index.php?search=when%20did%20alpine%20skiing%20come%20to%20the%20olympics" TargetMode="External"/><Relationship Id="rId73" Type="http://schemas.openxmlformats.org/officeDocument/2006/relationships/hyperlink" Target="https://en.wikipedia.org/w/index.php?search=when%20did%20the%20dallas%20cowboys%20win%20their%20first%20super%20bowl" TargetMode="External"/><Relationship Id="rId78" Type="http://schemas.openxmlformats.org/officeDocument/2006/relationships/hyperlink" Target="https://en.wikipedia.org/w/index.php?search=former%20world%20number%20one%20tennis%20player%20who%20coached%20roger%20federer%20in%202014" TargetMode="External"/><Relationship Id="rId81" Type="http://schemas.openxmlformats.org/officeDocument/2006/relationships/hyperlink" Target="https://en.wikipedia.org/w/index.php?search=when%20was%20stephen%20curry%20drafted%20to%20the%20nba" TargetMode="External"/><Relationship Id="rId86" Type="http://schemas.openxmlformats.org/officeDocument/2006/relationships/hyperlink" Target="https://en.wikipedia.org/w/index.php?search=where%20is%20the%202020%20summer%20olympics%20going%20to%20be%20held" TargetMode="External"/><Relationship Id="rId4" Type="http://schemas.openxmlformats.org/officeDocument/2006/relationships/hyperlink" Target="https://en.wikipedia.org/w/index.php?search=who%20has%20won%20the%202018%20men%27s%20singles%20tata%20open%20maharashtra%20tennis%20tournament" TargetMode="External"/><Relationship Id="rId9" Type="http://schemas.openxmlformats.org/officeDocument/2006/relationships/hyperlink" Target="https://en.wikipedia.org/w/index.php?search=when%20was%20the%20first%20cricket%20world%20cup%20held" TargetMode="External"/><Relationship Id="rId13" Type="http://schemas.openxmlformats.org/officeDocument/2006/relationships/hyperlink" Target="https://en.wikipedia.org/w/index.php?search=who%20won%20the%20fifa%20world%20cup%20in%201958" TargetMode="External"/><Relationship Id="rId18" Type="http://schemas.openxmlformats.org/officeDocument/2006/relationships/hyperlink" Target="https://en.wikipedia.org/w/index.php?search=where%20is%20the%202023%20rugby%20world%20cup%20being%20held" TargetMode="External"/><Relationship Id="rId39" Type="http://schemas.openxmlformats.org/officeDocument/2006/relationships/hyperlink" Target="https://en.wikipedia.org/w/index.php?search=how%20many%20games%20do%20you%20have%20to%20win%20in%20the%20nba%20finals" TargetMode="External"/><Relationship Id="rId34" Type="http://schemas.openxmlformats.org/officeDocument/2006/relationships/hyperlink" Target="https://en.wikipedia.org/w/index.php?search=how%20many%20wimbledon%20titles%20does%20roger%20federer%20have" TargetMode="External"/><Relationship Id="rId50" Type="http://schemas.openxmlformats.org/officeDocument/2006/relationships/hyperlink" Target="https://en.wikipedia.org/w/index.php?search=where%20will%20the%202028%20summer%20olympics%20be%20held" TargetMode="External"/><Relationship Id="rId55" Type="http://schemas.openxmlformats.org/officeDocument/2006/relationships/hyperlink" Target="https://en.wikipedia.org/w/index.php?search=how%20many%20nba%20titles%20does%20kobe%20bryant%20have" TargetMode="External"/><Relationship Id="rId76" Type="http://schemas.openxmlformats.org/officeDocument/2006/relationships/hyperlink" Target="https://en.wikipedia.org/w/index.php?search=what%20is%20the%20name%20of%20cricket%20stadium%20in%20chennai" TargetMode="External"/><Relationship Id="rId7" Type="http://schemas.openxmlformats.org/officeDocument/2006/relationships/hyperlink" Target="https://en.wikipedia.org/w/index.php?search=who%20won%20the%20women%27s%20college%20basketball%20championship%202018" TargetMode="External"/><Relationship Id="rId71" Type="http://schemas.openxmlformats.org/officeDocument/2006/relationships/hyperlink" Target="https://en.wikipedia.org/w/index.php?search=when%20did%20nhl%20players%20start%20to%20play%20in%20the%20olympics" TargetMode="External"/><Relationship Id="rId2" Type="http://schemas.openxmlformats.org/officeDocument/2006/relationships/hyperlink" Target="https://en.wikipedia.org/w/index.php?search=how%20many%20points%20for%20winning%20f1%20grand%20prix" TargetMode="External"/><Relationship Id="rId29" Type="http://schemas.openxmlformats.org/officeDocument/2006/relationships/hyperlink" Target="https://en.wikipedia.org/w/index.php?search=who%20won%20the%20nfl%20super%20bowl%20in%202003" TargetMode="External"/><Relationship Id="rId24" Type="http://schemas.openxmlformats.org/officeDocument/2006/relationships/hyperlink" Target="https://en.wikipedia.org/w/index.php?search=who%20has%20won%20the%20fifa%20world%20player%20award%20for%202015" TargetMode="External"/><Relationship Id="rId40" Type="http://schemas.openxmlformats.org/officeDocument/2006/relationships/hyperlink" Target="https://en.wikipedia.org/w/index.php?search=where%20is%20the%20wyndham%20golf%20tournament%20being%20played" TargetMode="External"/><Relationship Id="rId45" Type="http://schemas.openxmlformats.org/officeDocument/2006/relationships/hyperlink" Target="https://en.wikipedia.org/w/index.php?search=when%20did%20the%20nba%20switch%20to%20best%20of%207" TargetMode="External"/><Relationship Id="rId66" Type="http://schemas.openxmlformats.org/officeDocument/2006/relationships/hyperlink" Target="https://en.wikipedia.org/w/index.php?search=who%20was%20the%20first%20indian%20bowler%20to%20take%20hat%20-%20trick%20in%20test%20cricket" TargetMode="External"/><Relationship Id="rId87" Type="http://schemas.openxmlformats.org/officeDocument/2006/relationships/hyperlink" Target="https://en.wikipedia.org/w/index.php?search=how%20many%20players%20are%20on%20the%20nfl%20roster" TargetMode="External"/><Relationship Id="rId61" Type="http://schemas.openxmlformats.org/officeDocument/2006/relationships/hyperlink" Target="https://en.wikipedia.org/w/index.php?search=how%20many%20hockey%20games%20are%20in%20a%20season" TargetMode="External"/><Relationship Id="rId82" Type="http://schemas.openxmlformats.org/officeDocument/2006/relationships/hyperlink" Target="https://en.wikipedia.org/w/index.php?search=who%20won%20rookie%20of%20the%20year%20nba%201997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/index.php?search=athletes%20that%20compete%20in%20both%20winter%20and%20summer%20olympics" TargetMode="External"/><Relationship Id="rId13" Type="http://schemas.openxmlformats.org/officeDocument/2006/relationships/hyperlink" Target="https://en.wikipedia.org/w/index.php?search=who%20is%20the%20starting%20quarterback%20for%20the%20san%20francisco%2049ers%202017%20season" TargetMode="External"/><Relationship Id="rId18" Type="http://schemas.openxmlformats.org/officeDocument/2006/relationships/hyperlink" Target="https://en.wikipedia.org/w/index.php?search=when%20will%20the%202023%20rugby%20world%20cup%20be%20held" TargetMode="External"/><Relationship Id="rId26" Type="http://schemas.openxmlformats.org/officeDocument/2006/relationships/hyperlink" Target="https://en.wikipedia.org/w/index.php?search=who%20has%20scored%20the%20most%20runs%20in%20mlb%20history" TargetMode="External"/><Relationship Id="rId3" Type="http://schemas.openxmlformats.org/officeDocument/2006/relationships/hyperlink" Target="https://en.wikipedia.org/w/index.php?search=when%20did%20the%20three%20point%20line%20start%20in%20basketball" TargetMode="External"/><Relationship Id="rId21" Type="http://schemas.openxmlformats.org/officeDocument/2006/relationships/hyperlink" Target="https://en.wikipedia.org/w/index.php?search=where%20is%20the%20next%20fifa%20world%20cup%20in%202022" TargetMode="External"/><Relationship Id="rId7" Type="http://schemas.openxmlformats.org/officeDocument/2006/relationships/hyperlink" Target="https://en.wikipedia.org/w/index.php?search=who%20coaches%20san%20diego%20state%20mens%20basketball%20team" TargetMode="External"/><Relationship Id="rId12" Type="http://schemas.openxmlformats.org/officeDocument/2006/relationships/hyperlink" Target="https://en.wikipedia.org/w/index.php?search=who%20is%20the%20captain%20of%20the%20bangladesh%20cricket%20team" TargetMode="External"/><Relationship Id="rId17" Type="http://schemas.openxmlformats.org/officeDocument/2006/relationships/hyperlink" Target="https://en.wikipedia.org/w/index.php?search=who%20is%20the%20oldest%20nba%20player%20in%20history" TargetMode="External"/><Relationship Id="rId25" Type="http://schemas.openxmlformats.org/officeDocument/2006/relationships/hyperlink" Target="https://en.wikipedia.org/w/index.php?search=who%20got%20promoted%20to%20the%20premier%20league%20last%20year" TargetMode="External"/><Relationship Id="rId2" Type="http://schemas.openxmlformats.org/officeDocument/2006/relationships/hyperlink" Target="https://en.wikipedia.org/w/index.php?search=when%20was%20the%20last%20time%20the%20hornets%20made%20the%20playoffs" TargetMode="External"/><Relationship Id="rId16" Type="http://schemas.openxmlformats.org/officeDocument/2006/relationships/hyperlink" Target="https://en.wikipedia.org/w/index.php?search=who%20hit%20the%20most%20homeruns%20in%20baseball%20history" TargetMode="External"/><Relationship Id="rId20" Type="http://schemas.openxmlformats.org/officeDocument/2006/relationships/hyperlink" Target="https://en.wikipedia.org/w/index.php?search=where%20was%20the%20first%20game%20of%20baseball%20played" TargetMode="External"/><Relationship Id="rId29" Type="http://schemas.openxmlformats.org/officeDocument/2006/relationships/hyperlink" Target="https://en.wikipedia.org/w/index.php?search=what%20nfl%20team%20has%20the%20most%20wins%20in%20history" TargetMode="External"/><Relationship Id="rId1" Type="http://schemas.openxmlformats.org/officeDocument/2006/relationships/hyperlink" Target="https://en.wikipedia.org/w/index.php?search=who%20has%20the%20most%20gold%20medals%20in%20the%20olympics" TargetMode="External"/><Relationship Id="rId6" Type="http://schemas.openxmlformats.org/officeDocument/2006/relationships/hyperlink" Target="https://en.wikipedia.org/w/index.php?search=how%20many%20champions%20league%20did%20zidane%20won%20as%20a%20coach" TargetMode="External"/><Relationship Id="rId11" Type="http://schemas.openxmlformats.org/officeDocument/2006/relationships/hyperlink" Target="https://en.wikipedia.org/w/index.php?search=who%20is%20going%20to%20host%20next%20world%20cup" TargetMode="External"/><Relationship Id="rId24" Type="http://schemas.openxmlformats.org/officeDocument/2006/relationships/hyperlink" Target="https://en.wikipedia.org/w/index.php?search=how%20old%20was%20lebron%20james%20when%20he%20got%20drafted%20to%20the%20nba" TargetMode="External"/><Relationship Id="rId5" Type="http://schemas.openxmlformats.org/officeDocument/2006/relationships/hyperlink" Target="https://en.wikipedia.org/w/index.php?search=where%20is%20the%20little%20league%20world%20series%20played%20at" TargetMode="External"/><Relationship Id="rId15" Type="http://schemas.openxmlformats.org/officeDocument/2006/relationships/hyperlink" Target="https://en.wikipedia.org/w/index.php?search=who%20has%20the%20most%20goals%20in%20champions%20league%20history" TargetMode="External"/><Relationship Id="rId23" Type="http://schemas.openxmlformats.org/officeDocument/2006/relationships/hyperlink" Target="https://en.wikipedia.org/w/index.php?search=whats%20the%20record%20for%20most%20wins%20in%20a%20row%20mlb" TargetMode="External"/><Relationship Id="rId28" Type="http://schemas.openxmlformats.org/officeDocument/2006/relationships/hyperlink" Target="https://en.wikipedia.org/w/index.php?search=when%20was%20the%20last%20time%20the%20lakers%20made%20the%20playoffs" TargetMode="External"/><Relationship Id="rId10" Type="http://schemas.openxmlformats.org/officeDocument/2006/relationships/hyperlink" Target="https://en.wikipedia.org/w/index.php?search=how%20many%20nba%20teams%20have%20never%20won%20a%20championship" TargetMode="External"/><Relationship Id="rId19" Type="http://schemas.openxmlformats.org/officeDocument/2006/relationships/hyperlink" Target="https://en.wikipedia.org/w/index.php?search=who%20did%20denver%20broncos%20beat%20in%20the%20super%20bowl" TargetMode="External"/><Relationship Id="rId4" Type="http://schemas.openxmlformats.org/officeDocument/2006/relationships/hyperlink" Target="https://en.wikipedia.org/w/index.php?search=who%20won%20the%20playoffs%20for%20the%20super%20bowl" TargetMode="External"/><Relationship Id="rId9" Type="http://schemas.openxmlformats.org/officeDocument/2006/relationships/hyperlink" Target="https://en.wikipedia.org/w/index.php?search=when%20was%20the%20last%20time%20the%20bruins%20won%20the%20stanley%20cup" TargetMode="External"/><Relationship Id="rId14" Type="http://schemas.openxmlformats.org/officeDocument/2006/relationships/hyperlink" Target="https://en.wikipedia.org/w/index.php?search=when%20did%20the%20texas%20rangers%20go%20to%20the%20world%20series" TargetMode="External"/><Relationship Id="rId22" Type="http://schemas.openxmlformats.org/officeDocument/2006/relationships/hyperlink" Target="https://en.wikipedia.org/w/index.php?search=who%20is%20the%20coach%20for%20the%20cleveland%20cavaliers" TargetMode="External"/><Relationship Id="rId27" Type="http://schemas.openxmlformats.org/officeDocument/2006/relationships/hyperlink" Target="https://en.wikipedia.org/w/index.php?search=who%20has%20the%20most%20strikeouts%20in%20mlb%20history" TargetMode="External"/><Relationship Id="rId30" Type="http://schemas.openxmlformats.org/officeDocument/2006/relationships/hyperlink" Target="https://en.wikipedia.org/w/index.php?search=when%20was%20the%20last%20time%20peru%20was%20in%20the%20world%20c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zoomScaleNormal="100" workbookViewId="0"/>
  </sheetViews>
  <sheetFormatPr defaultColWidth="8.6328125" defaultRowHeight="14.5" x14ac:dyDescent="0.35"/>
  <cols>
    <col min="1" max="1" width="34" customWidth="1"/>
    <col min="2" max="3" width="16" customWidth="1"/>
    <col min="4" max="4" width="60" customWidth="1"/>
  </cols>
  <sheetData>
    <row r="1" spans="1:4" ht="17.25" customHeight="1" x14ac:dyDescent="0.35">
      <c r="A1" s="2" t="s">
        <v>0</v>
      </c>
    </row>
    <row r="3" spans="1:4" ht="30" customHeight="1" x14ac:dyDescent="0.35">
      <c r="A3" s="9" t="s">
        <v>1</v>
      </c>
      <c r="B3" s="9"/>
      <c r="C3" s="9"/>
      <c r="D3" s="9"/>
    </row>
    <row r="4" spans="1:4" ht="30" customHeight="1" x14ac:dyDescent="0.35">
      <c r="A4" s="9" t="s">
        <v>2</v>
      </c>
      <c r="B4" s="9"/>
      <c r="C4" s="9"/>
      <c r="D4" s="9"/>
    </row>
    <row r="5" spans="1:4" ht="30" customHeight="1" x14ac:dyDescent="0.35">
      <c r="A5" s="9" t="s">
        <v>3</v>
      </c>
      <c r="B5" s="9"/>
      <c r="C5" s="9"/>
      <c r="D5" s="9"/>
    </row>
    <row r="6" spans="1:4" ht="30" customHeight="1" x14ac:dyDescent="0.35">
      <c r="A6" s="9" t="s">
        <v>4</v>
      </c>
      <c r="B6" s="9"/>
      <c r="C6" s="9"/>
      <c r="D6" s="9"/>
    </row>
    <row r="7" spans="1:4" ht="30" customHeight="1" x14ac:dyDescent="0.35">
      <c r="A7" s="9" t="s">
        <v>5</v>
      </c>
      <c r="B7" s="9"/>
      <c r="C7" s="9"/>
      <c r="D7" s="9"/>
    </row>
    <row r="8" spans="1:4" ht="30" customHeight="1" x14ac:dyDescent="0.35">
      <c r="A8" s="9" t="s">
        <v>6</v>
      </c>
      <c r="B8" s="9"/>
      <c r="C8" s="9"/>
      <c r="D8" s="9"/>
    </row>
    <row r="10" spans="1:4" ht="23.25" customHeight="1" x14ac:dyDescent="0.35">
      <c r="A10" s="3" t="s">
        <v>7</v>
      </c>
    </row>
    <row r="11" spans="1:4" ht="23.25" customHeight="1" x14ac:dyDescent="0.35">
      <c r="A11" s="3" t="s">
        <v>8</v>
      </c>
      <c r="B11" s="3" t="s">
        <v>9</v>
      </c>
      <c r="C11" s="3" t="s">
        <v>10</v>
      </c>
      <c r="D11" s="3" t="s">
        <v>11</v>
      </c>
    </row>
    <row r="12" spans="1:4" ht="30" customHeight="1" x14ac:dyDescent="0.35">
      <c r="A12" s="4" t="s">
        <v>12</v>
      </c>
      <c r="B12" s="4" t="s">
        <v>13</v>
      </c>
      <c r="C12" s="4" t="s">
        <v>14</v>
      </c>
      <c r="D12" s="4" t="s">
        <v>15</v>
      </c>
    </row>
    <row r="14" spans="1:4" ht="23.25" customHeight="1" x14ac:dyDescent="0.35">
      <c r="A14" s="3" t="s">
        <v>16</v>
      </c>
    </row>
    <row r="15" spans="1:4" ht="15" customHeight="1" x14ac:dyDescent="0.35">
      <c r="A15" s="3" t="s">
        <v>17</v>
      </c>
      <c r="B15" s="3" t="s">
        <v>14</v>
      </c>
      <c r="C15" s="3" t="s">
        <v>18</v>
      </c>
      <c r="D15" s="3" t="s">
        <v>19</v>
      </c>
    </row>
    <row r="16" spans="1:4" ht="15" customHeight="1" x14ac:dyDescent="0.35">
      <c r="A16" s="1" t="s">
        <v>20</v>
      </c>
      <c r="B16" s="1">
        <f>COUNTIF(Wikidata!$K$2:$K$21,"yes")</f>
        <v>19</v>
      </c>
      <c r="C16" s="1">
        <f>COUNTIF(Wikidata!$K$2:$K$21,"no")</f>
        <v>0</v>
      </c>
      <c r="D16" s="1">
        <f>ROWS(Wikidata!$K$2:$K$21)-B16-C16</f>
        <v>1</v>
      </c>
    </row>
    <row r="17" spans="1:4" ht="15" customHeight="1" x14ac:dyDescent="0.35">
      <c r="A17" s="1" t="s">
        <v>21</v>
      </c>
      <c r="B17" s="1">
        <f>COUNTIF('MKQA kept'!$J$2:$J$89,"yes")</f>
        <v>79</v>
      </c>
      <c r="C17" s="1">
        <f>COUNTIF('MKQA kept'!$J$2:$J$89,"no")</f>
        <v>9</v>
      </c>
      <c r="D17" s="1">
        <f>ROWS('MKQA kept'!$J$2:$J$89)-B17-C17</f>
        <v>0</v>
      </c>
    </row>
    <row r="18" spans="1:4" ht="15" customHeight="1" x14ac:dyDescent="0.35">
      <c r="A18" s="1" t="s">
        <v>22</v>
      </c>
      <c r="B18" s="1">
        <f>COUNTIF('MKQA kept'!$K$2:$K$89,"yes")</f>
        <v>85</v>
      </c>
      <c r="C18" s="1">
        <f>COUNTIF('MKQA kept'!$K$2:$K$89,"no")</f>
        <v>3</v>
      </c>
      <c r="D18" s="1">
        <f>ROWS('MKQA kept'!$K$2:$K$89)-B18-C18</f>
        <v>0</v>
      </c>
    </row>
    <row r="19" spans="1:4" ht="15" customHeight="1" x14ac:dyDescent="0.35">
      <c r="A19" s="1" t="s">
        <v>23</v>
      </c>
      <c r="B19" s="1">
        <f>COUNTIF('MKQA rejected sample'!$G$2:$G$31,"yes")</f>
        <v>29</v>
      </c>
      <c r="C19" s="1">
        <f>COUNTIF('MKQA rejected sample'!$G$2:$G$31,"no")</f>
        <v>1</v>
      </c>
      <c r="D19" s="1">
        <f>ROWS('MKQA rejected sample'!$G$2:$G$31)-B19-C19</f>
        <v>0</v>
      </c>
    </row>
    <row r="21" spans="1:4" ht="30" customHeight="1" x14ac:dyDescent="0.35">
      <c r="A21" s="10" t="s">
        <v>24</v>
      </c>
      <c r="B21" s="10"/>
      <c r="C21" s="10"/>
      <c r="D21" s="10"/>
    </row>
  </sheetData>
  <mergeCells count="7">
    <mergeCell ref="A8:D8"/>
    <mergeCell ref="A21:D21"/>
    <mergeCell ref="A3:D3"/>
    <mergeCell ref="A4:D4"/>
    <mergeCell ref="A5:D5"/>
    <mergeCell ref="A6:D6"/>
    <mergeCell ref="A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zoomScaleNormal="100" workbookViewId="0">
      <pane xSplit="1" ySplit="1" topLeftCell="F4" activePane="bottomRight" state="frozen"/>
      <selection pane="topRight" activeCell="B1" sqref="B1"/>
      <selection pane="bottomLeft" activeCell="A2" sqref="A2"/>
      <selection pane="bottomRight" activeCell="L9" sqref="L9"/>
    </sheetView>
  </sheetViews>
  <sheetFormatPr defaultColWidth="8.6328125" defaultRowHeight="14.5" x14ac:dyDescent="0.35"/>
  <cols>
    <col min="1" max="1" width="5" customWidth="1"/>
    <col min="2" max="2" width="22" customWidth="1"/>
    <col min="3" max="3" width="16" customWidth="1"/>
    <col min="4" max="4" width="9" customWidth="1"/>
    <col min="5" max="5" width="46" customWidth="1"/>
    <col min="6" max="7" width="20" customWidth="1"/>
    <col min="8" max="8" width="13" customWidth="1"/>
    <col min="9" max="9" width="18" customWidth="1"/>
    <col min="10" max="10" width="16" customWidth="1"/>
    <col min="11" max="11" width="20" customWidth="1"/>
    <col min="12" max="12" width="34" customWidth="1"/>
  </cols>
  <sheetData>
    <row r="1" spans="1:12" ht="33.75" customHeight="1" x14ac:dyDescent="0.3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11</v>
      </c>
    </row>
    <row r="2" spans="1:12" ht="26.25" customHeight="1" x14ac:dyDescent="0.35">
      <c r="A2" s="6">
        <v>1</v>
      </c>
      <c r="B2" s="6" t="s">
        <v>36</v>
      </c>
      <c r="C2" s="6" t="s">
        <v>37</v>
      </c>
      <c r="D2" s="6" t="s">
        <v>38</v>
      </c>
      <c r="E2" s="6" t="s">
        <v>39</v>
      </c>
      <c r="F2" s="6" t="s">
        <v>40</v>
      </c>
      <c r="G2" s="6" t="s">
        <v>40</v>
      </c>
      <c r="H2" s="7" t="s">
        <v>41</v>
      </c>
      <c r="I2" s="7" t="s">
        <v>33</v>
      </c>
      <c r="J2" s="7" t="s">
        <v>34</v>
      </c>
      <c r="K2" s="8" t="s">
        <v>14</v>
      </c>
      <c r="L2" s="8" t="s">
        <v>42</v>
      </c>
    </row>
    <row r="3" spans="1:12" ht="26.25" customHeight="1" x14ac:dyDescent="0.35">
      <c r="A3" s="6">
        <v>2</v>
      </c>
      <c r="B3" s="6" t="s">
        <v>43</v>
      </c>
      <c r="C3" s="6" t="s">
        <v>37</v>
      </c>
      <c r="D3" s="6" t="s">
        <v>38</v>
      </c>
      <c r="E3" s="6" t="s">
        <v>44</v>
      </c>
      <c r="F3" s="6" t="s">
        <v>45</v>
      </c>
      <c r="G3" s="6" t="s">
        <v>45</v>
      </c>
      <c r="H3" s="7" t="s">
        <v>41</v>
      </c>
      <c r="I3" s="7" t="s">
        <v>33</v>
      </c>
      <c r="J3" s="7" t="s">
        <v>34</v>
      </c>
      <c r="K3" s="8" t="s">
        <v>14</v>
      </c>
      <c r="L3" s="8" t="s">
        <v>46</v>
      </c>
    </row>
    <row r="4" spans="1:12" ht="26.25" customHeight="1" x14ac:dyDescent="0.35">
      <c r="A4" s="6">
        <v>3</v>
      </c>
      <c r="B4" s="6" t="s">
        <v>47</v>
      </c>
      <c r="C4" s="6" t="s">
        <v>37</v>
      </c>
      <c r="D4" s="6" t="s">
        <v>38</v>
      </c>
      <c r="E4" s="6" t="s">
        <v>48</v>
      </c>
      <c r="F4" s="6" t="s">
        <v>49</v>
      </c>
      <c r="G4" s="6" t="s">
        <v>49</v>
      </c>
      <c r="H4" s="7" t="s">
        <v>41</v>
      </c>
      <c r="I4" s="7" t="s">
        <v>33</v>
      </c>
      <c r="J4" s="7" t="s">
        <v>34</v>
      </c>
      <c r="K4" s="8" t="s">
        <v>14</v>
      </c>
      <c r="L4" s="8" t="s">
        <v>50</v>
      </c>
    </row>
    <row r="5" spans="1:12" ht="26.25" customHeight="1" x14ac:dyDescent="0.35">
      <c r="A5" s="6">
        <v>4</v>
      </c>
      <c r="B5" s="6" t="s">
        <v>51</v>
      </c>
      <c r="C5" s="6" t="s">
        <v>37</v>
      </c>
      <c r="D5" s="6" t="s">
        <v>52</v>
      </c>
      <c r="E5" s="6" t="s">
        <v>53</v>
      </c>
      <c r="F5" s="6" t="s">
        <v>54</v>
      </c>
      <c r="G5" s="6" t="s">
        <v>54</v>
      </c>
      <c r="H5" s="7" t="s">
        <v>41</v>
      </c>
      <c r="I5" s="7" t="s">
        <v>33</v>
      </c>
      <c r="J5" s="7" t="s">
        <v>34</v>
      </c>
      <c r="K5" s="8" t="s">
        <v>14</v>
      </c>
      <c r="L5" s="8" t="s">
        <v>55</v>
      </c>
    </row>
    <row r="6" spans="1:12" ht="26.25" customHeight="1" x14ac:dyDescent="0.35">
      <c r="A6" s="6">
        <v>5</v>
      </c>
      <c r="B6" s="6" t="s">
        <v>56</v>
      </c>
      <c r="C6" s="6" t="s">
        <v>37</v>
      </c>
      <c r="D6" s="6" t="s">
        <v>38</v>
      </c>
      <c r="E6" s="6" t="s">
        <v>57</v>
      </c>
      <c r="F6" s="6" t="s">
        <v>58</v>
      </c>
      <c r="G6" s="6" t="s">
        <v>58</v>
      </c>
      <c r="H6" s="7" t="s">
        <v>41</v>
      </c>
      <c r="I6" s="7" t="s">
        <v>33</v>
      </c>
      <c r="J6" s="7" t="s">
        <v>34</v>
      </c>
      <c r="K6" s="8" t="s">
        <v>14</v>
      </c>
      <c r="L6" s="8" t="s">
        <v>59</v>
      </c>
    </row>
    <row r="7" spans="1:12" ht="26.25" customHeight="1" x14ac:dyDescent="0.35">
      <c r="A7" s="6">
        <v>6</v>
      </c>
      <c r="B7" s="6" t="s">
        <v>60</v>
      </c>
      <c r="C7" s="6" t="s">
        <v>37</v>
      </c>
      <c r="D7" s="6" t="s">
        <v>38</v>
      </c>
      <c r="E7" s="6" t="s">
        <v>61</v>
      </c>
      <c r="F7" s="6" t="s">
        <v>62</v>
      </c>
      <c r="G7" s="6" t="s">
        <v>62</v>
      </c>
      <c r="H7" s="7" t="s">
        <v>41</v>
      </c>
      <c r="I7" s="7" t="s">
        <v>33</v>
      </c>
      <c r="J7" s="7" t="s">
        <v>34</v>
      </c>
      <c r="K7" s="8" t="s">
        <v>14</v>
      </c>
      <c r="L7" s="8" t="s">
        <v>63</v>
      </c>
    </row>
    <row r="8" spans="1:12" ht="26.25" customHeight="1" x14ac:dyDescent="0.35">
      <c r="A8" s="6">
        <v>7</v>
      </c>
      <c r="B8" s="6" t="s">
        <v>64</v>
      </c>
      <c r="C8" s="6" t="s">
        <v>37</v>
      </c>
      <c r="D8" s="6" t="s">
        <v>38</v>
      </c>
      <c r="E8" s="6" t="s">
        <v>65</v>
      </c>
      <c r="F8" s="6" t="s">
        <v>66</v>
      </c>
      <c r="G8" s="6" t="s">
        <v>66</v>
      </c>
      <c r="H8" s="7" t="s">
        <v>41</v>
      </c>
      <c r="I8" s="7" t="s">
        <v>33</v>
      </c>
      <c r="J8" s="7" t="s">
        <v>34</v>
      </c>
      <c r="K8" s="8" t="s">
        <v>14</v>
      </c>
      <c r="L8" s="8" t="s">
        <v>67</v>
      </c>
    </row>
    <row r="9" spans="1:12" ht="26.25" customHeight="1" x14ac:dyDescent="0.35">
      <c r="A9" s="6">
        <v>8</v>
      </c>
      <c r="B9" s="6" t="s">
        <v>68</v>
      </c>
      <c r="C9" s="6" t="s">
        <v>37</v>
      </c>
      <c r="D9" s="6" t="s">
        <v>38</v>
      </c>
      <c r="E9" s="6" t="s">
        <v>69</v>
      </c>
      <c r="F9" s="6" t="s">
        <v>70</v>
      </c>
      <c r="G9" s="6" t="s">
        <v>70</v>
      </c>
      <c r="H9" s="7" t="s">
        <v>41</v>
      </c>
      <c r="I9" s="7" t="s">
        <v>33</v>
      </c>
      <c r="J9" s="7" t="s">
        <v>34</v>
      </c>
      <c r="K9" s="8" t="s">
        <v>71</v>
      </c>
      <c r="L9" s="8" t="s">
        <v>751</v>
      </c>
    </row>
    <row r="10" spans="1:12" ht="26.25" customHeight="1" x14ac:dyDescent="0.35">
      <c r="A10" s="6">
        <v>9</v>
      </c>
      <c r="B10" s="6" t="s">
        <v>72</v>
      </c>
      <c r="C10" s="6" t="s">
        <v>37</v>
      </c>
      <c r="D10" s="6" t="s">
        <v>38</v>
      </c>
      <c r="E10" s="6" t="s">
        <v>73</v>
      </c>
      <c r="F10" s="6" t="s">
        <v>74</v>
      </c>
      <c r="G10" s="6" t="s">
        <v>75</v>
      </c>
      <c r="H10" s="7" t="s">
        <v>41</v>
      </c>
      <c r="I10" s="7" t="s">
        <v>33</v>
      </c>
      <c r="J10" s="7" t="s">
        <v>34</v>
      </c>
      <c r="K10" s="8" t="s">
        <v>14</v>
      </c>
      <c r="L10" s="8" t="s">
        <v>76</v>
      </c>
    </row>
    <row r="11" spans="1:12" ht="26.25" customHeight="1" x14ac:dyDescent="0.35">
      <c r="A11" s="6">
        <v>10</v>
      </c>
      <c r="B11" s="6" t="s">
        <v>77</v>
      </c>
      <c r="C11" s="6" t="s">
        <v>37</v>
      </c>
      <c r="D11" s="6" t="s">
        <v>38</v>
      </c>
      <c r="E11" s="6" t="s">
        <v>78</v>
      </c>
      <c r="F11" s="6" t="s">
        <v>79</v>
      </c>
      <c r="G11" s="6" t="s">
        <v>79</v>
      </c>
      <c r="H11" s="7" t="s">
        <v>41</v>
      </c>
      <c r="I11" s="7" t="s">
        <v>33</v>
      </c>
      <c r="J11" s="7" t="s">
        <v>34</v>
      </c>
      <c r="K11" s="8" t="s">
        <v>14</v>
      </c>
      <c r="L11" s="8" t="s">
        <v>80</v>
      </c>
    </row>
    <row r="12" spans="1:12" ht="26.25" customHeight="1" x14ac:dyDescent="0.35">
      <c r="A12" s="6">
        <v>11</v>
      </c>
      <c r="B12" s="6" t="s">
        <v>81</v>
      </c>
      <c r="C12" s="6" t="s">
        <v>82</v>
      </c>
      <c r="D12" s="6" t="s">
        <v>38</v>
      </c>
      <c r="E12" s="6" t="s">
        <v>83</v>
      </c>
      <c r="F12" s="6" t="s">
        <v>84</v>
      </c>
      <c r="G12" s="6" t="s">
        <v>84</v>
      </c>
      <c r="H12" s="7" t="s">
        <v>41</v>
      </c>
      <c r="I12" s="7" t="s">
        <v>33</v>
      </c>
      <c r="J12" s="7" t="s">
        <v>34</v>
      </c>
      <c r="K12" s="8" t="s">
        <v>14</v>
      </c>
      <c r="L12" s="8" t="s">
        <v>85</v>
      </c>
    </row>
    <row r="13" spans="1:12" ht="26.25" customHeight="1" x14ac:dyDescent="0.35">
      <c r="A13" s="6">
        <v>12</v>
      </c>
      <c r="B13" s="6" t="s">
        <v>86</v>
      </c>
      <c r="C13" s="6" t="s">
        <v>82</v>
      </c>
      <c r="D13" s="6" t="s">
        <v>38</v>
      </c>
      <c r="E13" s="6" t="s">
        <v>87</v>
      </c>
      <c r="F13" s="6" t="s">
        <v>88</v>
      </c>
      <c r="G13" s="6" t="s">
        <v>88</v>
      </c>
      <c r="H13" s="7" t="s">
        <v>41</v>
      </c>
      <c r="I13" s="7" t="s">
        <v>33</v>
      </c>
      <c r="J13" s="7" t="s">
        <v>34</v>
      </c>
      <c r="K13" s="8" t="s">
        <v>14</v>
      </c>
      <c r="L13" s="8" t="s">
        <v>89</v>
      </c>
    </row>
    <row r="14" spans="1:12" ht="26.25" customHeight="1" x14ac:dyDescent="0.35">
      <c r="A14" s="6">
        <v>13</v>
      </c>
      <c r="B14" s="6" t="s">
        <v>90</v>
      </c>
      <c r="C14" s="6" t="s">
        <v>82</v>
      </c>
      <c r="D14" s="6" t="s">
        <v>38</v>
      </c>
      <c r="E14" s="6" t="s">
        <v>91</v>
      </c>
      <c r="F14" s="6" t="s">
        <v>92</v>
      </c>
      <c r="G14" s="6" t="s">
        <v>92</v>
      </c>
      <c r="H14" s="7" t="s">
        <v>41</v>
      </c>
      <c r="I14" s="7" t="s">
        <v>33</v>
      </c>
      <c r="J14" s="7" t="s">
        <v>34</v>
      </c>
      <c r="K14" s="8" t="s">
        <v>14</v>
      </c>
      <c r="L14" s="8" t="s">
        <v>93</v>
      </c>
    </row>
    <row r="15" spans="1:12" ht="26.25" customHeight="1" x14ac:dyDescent="0.35">
      <c r="A15" s="6">
        <v>14</v>
      </c>
      <c r="B15" s="6" t="s">
        <v>94</v>
      </c>
      <c r="C15" s="6" t="s">
        <v>82</v>
      </c>
      <c r="D15" s="6" t="s">
        <v>38</v>
      </c>
      <c r="E15" s="6" t="s">
        <v>95</v>
      </c>
      <c r="F15" s="6" t="s">
        <v>96</v>
      </c>
      <c r="G15" s="6" t="s">
        <v>96</v>
      </c>
      <c r="H15" s="7" t="s">
        <v>41</v>
      </c>
      <c r="I15" s="7" t="s">
        <v>33</v>
      </c>
      <c r="J15" s="7" t="s">
        <v>34</v>
      </c>
      <c r="K15" s="8" t="s">
        <v>14</v>
      </c>
      <c r="L15" s="8" t="s">
        <v>97</v>
      </c>
    </row>
    <row r="16" spans="1:12" ht="26.25" customHeight="1" x14ac:dyDescent="0.35">
      <c r="A16" s="6">
        <v>15</v>
      </c>
      <c r="B16" s="6" t="s">
        <v>98</v>
      </c>
      <c r="C16" s="6" t="s">
        <v>82</v>
      </c>
      <c r="D16" s="6" t="s">
        <v>38</v>
      </c>
      <c r="E16" s="6" t="s">
        <v>99</v>
      </c>
      <c r="F16" s="6" t="s">
        <v>100</v>
      </c>
      <c r="G16" s="6" t="s">
        <v>100</v>
      </c>
      <c r="H16" s="7" t="s">
        <v>41</v>
      </c>
      <c r="I16" s="7" t="s">
        <v>33</v>
      </c>
      <c r="J16" s="7" t="s">
        <v>34</v>
      </c>
      <c r="K16" s="8" t="s">
        <v>14</v>
      </c>
      <c r="L16" s="8" t="s">
        <v>101</v>
      </c>
    </row>
    <row r="17" spans="1:12" ht="26.25" customHeight="1" x14ac:dyDescent="0.35">
      <c r="A17" s="6">
        <v>16</v>
      </c>
      <c r="B17" s="6" t="s">
        <v>102</v>
      </c>
      <c r="C17" s="6" t="s">
        <v>82</v>
      </c>
      <c r="D17" s="6" t="s">
        <v>38</v>
      </c>
      <c r="E17" s="6" t="s">
        <v>103</v>
      </c>
      <c r="F17" s="6" t="s">
        <v>49</v>
      </c>
      <c r="G17" s="6" t="s">
        <v>49</v>
      </c>
      <c r="H17" s="7" t="s">
        <v>41</v>
      </c>
      <c r="I17" s="7" t="s">
        <v>33</v>
      </c>
      <c r="J17" s="7" t="s">
        <v>34</v>
      </c>
      <c r="K17" s="8" t="s">
        <v>14</v>
      </c>
      <c r="L17" s="8" t="s">
        <v>104</v>
      </c>
    </row>
    <row r="18" spans="1:12" ht="26.25" customHeight="1" x14ac:dyDescent="0.35">
      <c r="A18" s="6">
        <v>17</v>
      </c>
      <c r="B18" s="6" t="s">
        <v>105</v>
      </c>
      <c r="C18" s="6" t="s">
        <v>82</v>
      </c>
      <c r="D18" s="6" t="s">
        <v>38</v>
      </c>
      <c r="E18" s="6" t="s">
        <v>106</v>
      </c>
      <c r="F18" s="6" t="s">
        <v>107</v>
      </c>
      <c r="G18" s="6" t="s">
        <v>107</v>
      </c>
      <c r="H18" s="7" t="s">
        <v>41</v>
      </c>
      <c r="I18" s="7" t="s">
        <v>33</v>
      </c>
      <c r="J18" s="7" t="s">
        <v>34</v>
      </c>
      <c r="K18" s="8" t="s">
        <v>14</v>
      </c>
      <c r="L18" s="8" t="s">
        <v>108</v>
      </c>
    </row>
    <row r="19" spans="1:12" ht="26.25" customHeight="1" x14ac:dyDescent="0.35">
      <c r="A19" s="6">
        <v>18</v>
      </c>
      <c r="B19" s="6" t="s">
        <v>109</v>
      </c>
      <c r="C19" s="6" t="s">
        <v>82</v>
      </c>
      <c r="D19" s="6" t="s">
        <v>38</v>
      </c>
      <c r="E19" s="6" t="s">
        <v>110</v>
      </c>
      <c r="F19" s="6" t="s">
        <v>111</v>
      </c>
      <c r="G19" s="6" t="s">
        <v>111</v>
      </c>
      <c r="H19" s="7" t="s">
        <v>41</v>
      </c>
      <c r="I19" s="7" t="s">
        <v>33</v>
      </c>
      <c r="J19" s="7" t="s">
        <v>34</v>
      </c>
      <c r="K19" s="8" t="s">
        <v>14</v>
      </c>
      <c r="L19" s="8" t="s">
        <v>112</v>
      </c>
    </row>
    <row r="20" spans="1:12" ht="26.25" customHeight="1" x14ac:dyDescent="0.35">
      <c r="A20" s="6">
        <v>19</v>
      </c>
      <c r="B20" s="6" t="s">
        <v>113</v>
      </c>
      <c r="C20" s="6" t="s">
        <v>82</v>
      </c>
      <c r="D20" s="6" t="s">
        <v>38</v>
      </c>
      <c r="E20" s="6" t="s">
        <v>114</v>
      </c>
      <c r="F20" s="6" t="s">
        <v>115</v>
      </c>
      <c r="G20" s="6" t="s">
        <v>115</v>
      </c>
      <c r="H20" s="7" t="s">
        <v>41</v>
      </c>
      <c r="I20" s="7" t="s">
        <v>33</v>
      </c>
      <c r="J20" s="7" t="s">
        <v>34</v>
      </c>
      <c r="K20" s="8" t="s">
        <v>14</v>
      </c>
      <c r="L20" s="8" t="s">
        <v>116</v>
      </c>
    </row>
    <row r="21" spans="1:12" ht="26.25" customHeight="1" x14ac:dyDescent="0.35">
      <c r="A21" s="6">
        <v>20</v>
      </c>
      <c r="B21" s="6" t="s">
        <v>117</v>
      </c>
      <c r="C21" s="6" t="s">
        <v>82</v>
      </c>
      <c r="D21" s="6" t="s">
        <v>38</v>
      </c>
      <c r="E21" s="6" t="s">
        <v>118</v>
      </c>
      <c r="F21" s="6" t="s">
        <v>119</v>
      </c>
      <c r="G21" s="6" t="s">
        <v>119</v>
      </c>
      <c r="H21" s="7" t="s">
        <v>41</v>
      </c>
      <c r="I21" s="7" t="s">
        <v>33</v>
      </c>
      <c r="J21" s="7" t="s">
        <v>34</v>
      </c>
      <c r="K21" s="8" t="s">
        <v>14</v>
      </c>
      <c r="L21" s="8" t="s">
        <v>120</v>
      </c>
    </row>
  </sheetData>
  <autoFilter ref="A1:L21" xr:uid="{00000000-0009-0000-0000-000001000000}"/>
  <dataValidations count="1">
    <dataValidation type="list" allowBlank="1" sqref="K2:K21" xr:uid="{00000000-0002-0000-0100-000000000000}">
      <formula1>"yes,no,not found"</formula1>
      <formula2>0</formula2>
    </dataValidation>
  </dataValidations>
  <hyperlinks>
    <hyperlink ref="H2" r:id="rId1" xr:uid="{00000000-0004-0000-0100-000000000000}"/>
    <hyperlink ref="I2" r:id="rId2" xr:uid="{00000000-0004-0000-0100-000001000000}"/>
    <hyperlink ref="J2" r:id="rId3" xr:uid="{00000000-0004-0000-0100-000002000000}"/>
    <hyperlink ref="H3" r:id="rId4" xr:uid="{00000000-0004-0000-0100-000003000000}"/>
    <hyperlink ref="I3" r:id="rId5" xr:uid="{00000000-0004-0000-0100-000004000000}"/>
    <hyperlink ref="J3" r:id="rId6" xr:uid="{00000000-0004-0000-0100-000005000000}"/>
    <hyperlink ref="H4" r:id="rId7" xr:uid="{00000000-0004-0000-0100-000006000000}"/>
    <hyperlink ref="I4" r:id="rId8" xr:uid="{00000000-0004-0000-0100-000007000000}"/>
    <hyperlink ref="J4" r:id="rId9" xr:uid="{00000000-0004-0000-0100-000008000000}"/>
    <hyperlink ref="H5" r:id="rId10" xr:uid="{00000000-0004-0000-0100-000009000000}"/>
    <hyperlink ref="I5" r:id="rId11" xr:uid="{00000000-0004-0000-0100-00000A000000}"/>
    <hyperlink ref="J5" r:id="rId12" xr:uid="{00000000-0004-0000-0100-00000B000000}"/>
    <hyperlink ref="H6" r:id="rId13" xr:uid="{00000000-0004-0000-0100-00000C000000}"/>
    <hyperlink ref="I6" r:id="rId14" xr:uid="{00000000-0004-0000-0100-00000D000000}"/>
    <hyperlink ref="J6" r:id="rId15" xr:uid="{00000000-0004-0000-0100-00000E000000}"/>
    <hyperlink ref="H7" r:id="rId16" xr:uid="{00000000-0004-0000-0100-00000F000000}"/>
    <hyperlink ref="I7" r:id="rId17" xr:uid="{00000000-0004-0000-0100-000010000000}"/>
    <hyperlink ref="J7" r:id="rId18" xr:uid="{00000000-0004-0000-0100-000011000000}"/>
    <hyperlink ref="H8" r:id="rId19" xr:uid="{00000000-0004-0000-0100-000012000000}"/>
    <hyperlink ref="I8" r:id="rId20" xr:uid="{00000000-0004-0000-0100-000013000000}"/>
    <hyperlink ref="J8" r:id="rId21" xr:uid="{00000000-0004-0000-0100-000014000000}"/>
    <hyperlink ref="H9" r:id="rId22" xr:uid="{00000000-0004-0000-0100-000015000000}"/>
    <hyperlink ref="I9" r:id="rId23" xr:uid="{00000000-0004-0000-0100-000016000000}"/>
    <hyperlink ref="J9" r:id="rId24" xr:uid="{00000000-0004-0000-0100-000017000000}"/>
    <hyperlink ref="H10" r:id="rId25" xr:uid="{00000000-0004-0000-0100-000018000000}"/>
    <hyperlink ref="I10" r:id="rId26" xr:uid="{00000000-0004-0000-0100-000019000000}"/>
    <hyperlink ref="J10" r:id="rId27" xr:uid="{00000000-0004-0000-0100-00001A000000}"/>
    <hyperlink ref="H11" r:id="rId28" xr:uid="{00000000-0004-0000-0100-00001B000000}"/>
    <hyperlink ref="I11" r:id="rId29" xr:uid="{00000000-0004-0000-0100-00001C000000}"/>
    <hyperlink ref="J11" r:id="rId30" xr:uid="{00000000-0004-0000-0100-00001D000000}"/>
    <hyperlink ref="H12" r:id="rId31" xr:uid="{00000000-0004-0000-0100-00001E000000}"/>
    <hyperlink ref="I12" r:id="rId32" xr:uid="{00000000-0004-0000-0100-00001F000000}"/>
    <hyperlink ref="J12" r:id="rId33" xr:uid="{00000000-0004-0000-0100-000020000000}"/>
    <hyperlink ref="H13" r:id="rId34" xr:uid="{00000000-0004-0000-0100-000021000000}"/>
    <hyperlink ref="I13" r:id="rId35" xr:uid="{00000000-0004-0000-0100-000022000000}"/>
    <hyperlink ref="J13" r:id="rId36" xr:uid="{00000000-0004-0000-0100-000023000000}"/>
    <hyperlink ref="H14" r:id="rId37" xr:uid="{00000000-0004-0000-0100-000024000000}"/>
    <hyperlink ref="I14" r:id="rId38" xr:uid="{00000000-0004-0000-0100-000025000000}"/>
    <hyperlink ref="J14" r:id="rId39" xr:uid="{00000000-0004-0000-0100-000026000000}"/>
    <hyperlink ref="H15" r:id="rId40" xr:uid="{00000000-0004-0000-0100-000027000000}"/>
    <hyperlink ref="I15" r:id="rId41" xr:uid="{00000000-0004-0000-0100-000028000000}"/>
    <hyperlink ref="J15" r:id="rId42" xr:uid="{00000000-0004-0000-0100-000029000000}"/>
    <hyperlink ref="H16" r:id="rId43" xr:uid="{00000000-0004-0000-0100-00002A000000}"/>
    <hyperlink ref="I16" r:id="rId44" xr:uid="{00000000-0004-0000-0100-00002B000000}"/>
    <hyperlink ref="J16" r:id="rId45" xr:uid="{00000000-0004-0000-0100-00002C000000}"/>
    <hyperlink ref="H17" r:id="rId46" xr:uid="{00000000-0004-0000-0100-00002D000000}"/>
    <hyperlink ref="I17" r:id="rId47" xr:uid="{00000000-0004-0000-0100-00002E000000}"/>
    <hyperlink ref="J17" r:id="rId48" xr:uid="{00000000-0004-0000-0100-00002F000000}"/>
    <hyperlink ref="H18" r:id="rId49" xr:uid="{00000000-0004-0000-0100-000030000000}"/>
    <hyperlink ref="I18" r:id="rId50" xr:uid="{00000000-0004-0000-0100-000031000000}"/>
    <hyperlink ref="J18" r:id="rId51" xr:uid="{00000000-0004-0000-0100-000032000000}"/>
    <hyperlink ref="H19" r:id="rId52" xr:uid="{00000000-0004-0000-0100-000033000000}"/>
    <hyperlink ref="I19" r:id="rId53" xr:uid="{00000000-0004-0000-0100-000034000000}"/>
    <hyperlink ref="J19" r:id="rId54" xr:uid="{00000000-0004-0000-0100-000035000000}"/>
    <hyperlink ref="H20" r:id="rId55" xr:uid="{00000000-0004-0000-0100-000036000000}"/>
    <hyperlink ref="I20" r:id="rId56" xr:uid="{00000000-0004-0000-0100-000037000000}"/>
    <hyperlink ref="J20" r:id="rId57" xr:uid="{00000000-0004-0000-0100-000038000000}"/>
    <hyperlink ref="H21" r:id="rId58" xr:uid="{00000000-0004-0000-0100-000039000000}"/>
    <hyperlink ref="I21" r:id="rId59" xr:uid="{00000000-0004-0000-0100-00003A000000}"/>
    <hyperlink ref="J21" r:id="rId60" xr:uid="{00000000-0004-0000-0100-00003B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5" customWidth="1"/>
    <col min="2" max="2" width="26" customWidth="1"/>
    <col min="3" max="4" width="40" customWidth="1"/>
    <col min="5" max="5" width="12" customWidth="1"/>
    <col min="6" max="6" width="18" customWidth="1"/>
    <col min="7" max="7" width="30" customWidth="1"/>
    <col min="8" max="8" width="36" customWidth="1"/>
    <col min="9" max="9" width="16" customWidth="1"/>
    <col min="10" max="10" width="14" customWidth="1"/>
    <col min="11" max="11" width="16" customWidth="1"/>
    <col min="12" max="12" width="34" customWidth="1"/>
  </cols>
  <sheetData>
    <row r="1" spans="1:12" ht="33.75" customHeight="1" x14ac:dyDescent="0.35">
      <c r="A1" s="5" t="s">
        <v>25</v>
      </c>
      <c r="B1" s="5" t="s">
        <v>26</v>
      </c>
      <c r="C1" s="5" t="s">
        <v>29</v>
      </c>
      <c r="D1" s="5" t="s">
        <v>121</v>
      </c>
      <c r="E1" s="5" t="s">
        <v>122</v>
      </c>
      <c r="F1" s="5" t="s">
        <v>123</v>
      </c>
      <c r="G1" s="5" t="s">
        <v>124</v>
      </c>
      <c r="H1" s="5" t="s">
        <v>125</v>
      </c>
      <c r="I1" s="5" t="s">
        <v>17</v>
      </c>
      <c r="J1" s="5" t="s">
        <v>126</v>
      </c>
      <c r="K1" s="5" t="s">
        <v>127</v>
      </c>
      <c r="L1" s="5" t="s">
        <v>11</v>
      </c>
    </row>
    <row r="2" spans="1:12" ht="26.25" customHeight="1" x14ac:dyDescent="0.35">
      <c r="A2" s="6">
        <v>1</v>
      </c>
      <c r="B2" s="6" t="s">
        <v>128</v>
      </c>
      <c r="C2" s="6" t="s">
        <v>129</v>
      </c>
      <c r="D2" s="6" t="s">
        <v>130</v>
      </c>
      <c r="E2" s="6" t="s">
        <v>131</v>
      </c>
      <c r="F2" s="6" t="s">
        <v>132</v>
      </c>
      <c r="G2" s="6" t="s">
        <v>132</v>
      </c>
      <c r="H2" s="6" t="s">
        <v>133</v>
      </c>
      <c r="I2" s="7" t="s">
        <v>134</v>
      </c>
      <c r="J2" s="8" t="s">
        <v>14</v>
      </c>
      <c r="K2" s="8" t="s">
        <v>14</v>
      </c>
      <c r="L2" s="8" t="s">
        <v>135</v>
      </c>
    </row>
    <row r="3" spans="1:12" ht="26.25" customHeight="1" x14ac:dyDescent="0.35">
      <c r="A3" s="6">
        <v>2</v>
      </c>
      <c r="B3" s="6" t="s">
        <v>136</v>
      </c>
      <c r="C3" s="6" t="s">
        <v>137</v>
      </c>
      <c r="D3" s="6" t="s">
        <v>138</v>
      </c>
      <c r="E3" s="6" t="s">
        <v>139</v>
      </c>
      <c r="F3" s="6" t="s">
        <v>140</v>
      </c>
      <c r="G3" s="6" t="s">
        <v>141</v>
      </c>
      <c r="H3" s="6" t="s">
        <v>133</v>
      </c>
      <c r="I3" s="7" t="s">
        <v>134</v>
      </c>
      <c r="J3" s="8" t="s">
        <v>14</v>
      </c>
      <c r="K3" s="8" t="s">
        <v>14</v>
      </c>
      <c r="L3" s="8" t="s">
        <v>142</v>
      </c>
    </row>
    <row r="4" spans="1:12" ht="26.25" customHeight="1" x14ac:dyDescent="0.35">
      <c r="A4" s="6">
        <v>3</v>
      </c>
      <c r="B4" s="6" t="s">
        <v>143</v>
      </c>
      <c r="C4" s="6" t="s">
        <v>144</v>
      </c>
      <c r="D4" s="6" t="s">
        <v>145</v>
      </c>
      <c r="E4" s="6" t="s">
        <v>131</v>
      </c>
      <c r="F4" s="6" t="s">
        <v>146</v>
      </c>
      <c r="G4" s="6" t="s">
        <v>147</v>
      </c>
      <c r="H4" s="6" t="s">
        <v>133</v>
      </c>
      <c r="I4" s="7" t="s">
        <v>134</v>
      </c>
      <c r="J4" s="8" t="s">
        <v>14</v>
      </c>
      <c r="K4" s="8" t="s">
        <v>14</v>
      </c>
      <c r="L4" s="8" t="s">
        <v>148</v>
      </c>
    </row>
    <row r="5" spans="1:12" ht="39" customHeight="1" x14ac:dyDescent="0.35">
      <c r="A5" s="6">
        <v>4</v>
      </c>
      <c r="B5" s="6" t="s">
        <v>149</v>
      </c>
      <c r="C5" s="6" t="s">
        <v>150</v>
      </c>
      <c r="D5" s="6" t="s">
        <v>151</v>
      </c>
      <c r="E5" s="6" t="s">
        <v>131</v>
      </c>
      <c r="F5" s="6" t="s">
        <v>152</v>
      </c>
      <c r="G5" s="6" t="s">
        <v>152</v>
      </c>
      <c r="H5" s="6" t="s">
        <v>133</v>
      </c>
      <c r="I5" s="7" t="s">
        <v>134</v>
      </c>
      <c r="J5" s="8" t="s">
        <v>14</v>
      </c>
      <c r="K5" s="8" t="s">
        <v>14</v>
      </c>
      <c r="L5" s="8" t="s">
        <v>153</v>
      </c>
    </row>
    <row r="6" spans="1:12" ht="64.5" customHeight="1" x14ac:dyDescent="0.35">
      <c r="A6" s="6">
        <v>5</v>
      </c>
      <c r="B6" s="6" t="s">
        <v>154</v>
      </c>
      <c r="C6" s="6" t="s">
        <v>155</v>
      </c>
      <c r="D6" s="6" t="s">
        <v>156</v>
      </c>
      <c r="E6" s="6" t="s">
        <v>131</v>
      </c>
      <c r="F6" s="6" t="s">
        <v>157</v>
      </c>
      <c r="G6" s="6" t="s">
        <v>158</v>
      </c>
      <c r="H6" s="6" t="s">
        <v>133</v>
      </c>
      <c r="I6" s="7" t="s">
        <v>134</v>
      </c>
      <c r="J6" s="8" t="s">
        <v>14</v>
      </c>
      <c r="K6" s="8" t="s">
        <v>14</v>
      </c>
      <c r="L6" s="8" t="s">
        <v>159</v>
      </c>
    </row>
    <row r="7" spans="1:12" ht="26.25" customHeight="1" x14ac:dyDescent="0.35">
      <c r="A7" s="6">
        <v>6</v>
      </c>
      <c r="B7" s="6" t="s">
        <v>160</v>
      </c>
      <c r="C7" s="6" t="s">
        <v>161</v>
      </c>
      <c r="D7" s="6" t="s">
        <v>162</v>
      </c>
      <c r="E7" s="6" t="s">
        <v>163</v>
      </c>
      <c r="F7" s="6" t="s">
        <v>164</v>
      </c>
      <c r="G7" s="6" t="s">
        <v>164</v>
      </c>
      <c r="H7" s="6" t="s">
        <v>133</v>
      </c>
      <c r="I7" s="7" t="s">
        <v>134</v>
      </c>
      <c r="J7" s="8" t="s">
        <v>14</v>
      </c>
      <c r="K7" s="8" t="s">
        <v>14</v>
      </c>
      <c r="L7" s="8" t="s">
        <v>165</v>
      </c>
    </row>
    <row r="8" spans="1:12" ht="51.75" customHeight="1" x14ac:dyDescent="0.35">
      <c r="A8" s="6">
        <v>7</v>
      </c>
      <c r="B8" s="6" t="s">
        <v>166</v>
      </c>
      <c r="C8" s="6" t="s">
        <v>167</v>
      </c>
      <c r="D8" s="6" t="s">
        <v>168</v>
      </c>
      <c r="E8" s="6" t="s">
        <v>131</v>
      </c>
      <c r="F8" s="6" t="s">
        <v>169</v>
      </c>
      <c r="G8" s="6" t="s">
        <v>170</v>
      </c>
      <c r="H8" s="6" t="s">
        <v>171</v>
      </c>
      <c r="I8" s="7" t="s">
        <v>134</v>
      </c>
      <c r="J8" s="8" t="s">
        <v>14</v>
      </c>
      <c r="K8" s="8" t="s">
        <v>14</v>
      </c>
      <c r="L8" s="8" t="s">
        <v>172</v>
      </c>
    </row>
    <row r="9" spans="1:12" ht="26.25" customHeight="1" x14ac:dyDescent="0.35">
      <c r="A9" s="6">
        <v>8</v>
      </c>
      <c r="B9" s="6" t="s">
        <v>173</v>
      </c>
      <c r="C9" s="6" t="s">
        <v>174</v>
      </c>
      <c r="D9" s="6" t="s">
        <v>175</v>
      </c>
      <c r="E9" s="6" t="s">
        <v>176</v>
      </c>
      <c r="F9" s="6" t="s">
        <v>177</v>
      </c>
      <c r="G9" s="6" t="s">
        <v>177</v>
      </c>
      <c r="H9" s="6" t="s">
        <v>133</v>
      </c>
      <c r="I9" s="7" t="s">
        <v>134</v>
      </c>
      <c r="J9" s="8" t="s">
        <v>14</v>
      </c>
      <c r="K9" s="8" t="s">
        <v>14</v>
      </c>
      <c r="L9" s="8" t="s">
        <v>178</v>
      </c>
    </row>
    <row r="10" spans="1:12" ht="26.25" customHeight="1" x14ac:dyDescent="0.35">
      <c r="A10" s="6">
        <v>9</v>
      </c>
      <c r="B10" s="6" t="s">
        <v>179</v>
      </c>
      <c r="C10" s="6" t="s">
        <v>180</v>
      </c>
      <c r="D10" s="6" t="s">
        <v>181</v>
      </c>
      <c r="E10" s="6" t="s">
        <v>176</v>
      </c>
      <c r="F10" s="6" t="s">
        <v>182</v>
      </c>
      <c r="G10" s="6" t="s">
        <v>182</v>
      </c>
      <c r="H10" s="6" t="s">
        <v>133</v>
      </c>
      <c r="I10" s="7" t="s">
        <v>134</v>
      </c>
      <c r="J10" s="8" t="s">
        <v>14</v>
      </c>
      <c r="K10" s="8" t="s">
        <v>14</v>
      </c>
      <c r="L10" s="8" t="s">
        <v>183</v>
      </c>
    </row>
    <row r="11" spans="1:12" ht="26.25" customHeight="1" x14ac:dyDescent="0.35">
      <c r="A11" s="6">
        <v>10</v>
      </c>
      <c r="B11" s="6" t="s">
        <v>184</v>
      </c>
      <c r="C11" s="6" t="s">
        <v>185</v>
      </c>
      <c r="D11" s="6" t="s">
        <v>186</v>
      </c>
      <c r="E11" s="6" t="s">
        <v>139</v>
      </c>
      <c r="F11" s="6" t="s">
        <v>187</v>
      </c>
      <c r="G11" s="6" t="s">
        <v>188</v>
      </c>
      <c r="H11" s="6" t="s">
        <v>133</v>
      </c>
      <c r="I11" s="7" t="s">
        <v>134</v>
      </c>
      <c r="J11" s="8" t="s">
        <v>14</v>
      </c>
      <c r="K11" s="8" t="s">
        <v>14</v>
      </c>
      <c r="L11" s="8" t="s">
        <v>189</v>
      </c>
    </row>
    <row r="12" spans="1:12" ht="51.75" customHeight="1" x14ac:dyDescent="0.35">
      <c r="A12" s="6">
        <v>11</v>
      </c>
      <c r="B12" s="6" t="s">
        <v>190</v>
      </c>
      <c r="C12" s="6" t="s">
        <v>191</v>
      </c>
      <c r="D12" s="6" t="s">
        <v>192</v>
      </c>
      <c r="E12" s="6" t="s">
        <v>131</v>
      </c>
      <c r="F12" s="6" t="s">
        <v>193</v>
      </c>
      <c r="G12" s="6" t="s">
        <v>194</v>
      </c>
      <c r="H12" s="6" t="s">
        <v>133</v>
      </c>
      <c r="I12" s="7" t="s">
        <v>134</v>
      </c>
      <c r="J12" s="8" t="s">
        <v>14</v>
      </c>
      <c r="K12" s="8" t="s">
        <v>14</v>
      </c>
      <c r="L12" s="8" t="s">
        <v>195</v>
      </c>
    </row>
    <row r="13" spans="1:12" ht="26.25" customHeight="1" x14ac:dyDescent="0.35">
      <c r="A13" s="6">
        <v>12</v>
      </c>
      <c r="B13" s="6" t="s">
        <v>196</v>
      </c>
      <c r="C13" s="6" t="s">
        <v>197</v>
      </c>
      <c r="D13" s="6" t="s">
        <v>198</v>
      </c>
      <c r="E13" s="6" t="s">
        <v>139</v>
      </c>
      <c r="F13" s="6" t="s">
        <v>199</v>
      </c>
      <c r="G13" s="6" t="s">
        <v>200</v>
      </c>
      <c r="H13" s="6" t="s">
        <v>133</v>
      </c>
      <c r="I13" s="7" t="s">
        <v>134</v>
      </c>
      <c r="J13" s="8" t="s">
        <v>14</v>
      </c>
      <c r="K13" s="8" t="s">
        <v>14</v>
      </c>
      <c r="L13" s="8" t="s">
        <v>201</v>
      </c>
    </row>
    <row r="14" spans="1:12" ht="115.5" customHeight="1" x14ac:dyDescent="0.35">
      <c r="A14" s="6">
        <v>13</v>
      </c>
      <c r="B14" s="6" t="s">
        <v>202</v>
      </c>
      <c r="C14" s="6" t="s">
        <v>203</v>
      </c>
      <c r="D14" s="6" t="s">
        <v>204</v>
      </c>
      <c r="E14" s="6" t="s">
        <v>131</v>
      </c>
      <c r="F14" s="6" t="s">
        <v>205</v>
      </c>
      <c r="G14" s="6" t="s">
        <v>206</v>
      </c>
      <c r="H14" s="6" t="s">
        <v>133</v>
      </c>
      <c r="I14" s="7" t="s">
        <v>134</v>
      </c>
      <c r="J14" s="8" t="s">
        <v>14</v>
      </c>
      <c r="K14" s="8" t="s">
        <v>14</v>
      </c>
      <c r="L14" s="8" t="s">
        <v>207</v>
      </c>
    </row>
    <row r="15" spans="1:12" ht="26.25" customHeight="1" x14ac:dyDescent="0.35">
      <c r="A15" s="6">
        <v>14</v>
      </c>
      <c r="B15" s="6" t="s">
        <v>208</v>
      </c>
      <c r="C15" s="6" t="s">
        <v>209</v>
      </c>
      <c r="D15" s="6" t="s">
        <v>210</v>
      </c>
      <c r="E15" s="6" t="s">
        <v>176</v>
      </c>
      <c r="F15" s="6" t="s">
        <v>211</v>
      </c>
      <c r="G15" s="6" t="s">
        <v>211</v>
      </c>
      <c r="H15" s="6" t="s">
        <v>133</v>
      </c>
      <c r="I15" s="7" t="s">
        <v>134</v>
      </c>
      <c r="J15" s="8" t="s">
        <v>14</v>
      </c>
      <c r="K15" s="8" t="s">
        <v>14</v>
      </c>
      <c r="L15" s="8" t="s">
        <v>212</v>
      </c>
    </row>
    <row r="16" spans="1:12" ht="77.25" customHeight="1" x14ac:dyDescent="0.35">
      <c r="A16" s="6">
        <v>15</v>
      </c>
      <c r="B16" s="6" t="s">
        <v>213</v>
      </c>
      <c r="C16" s="6" t="s">
        <v>214</v>
      </c>
      <c r="D16" s="6" t="s">
        <v>215</v>
      </c>
      <c r="E16" s="6" t="s">
        <v>131</v>
      </c>
      <c r="F16" s="6" t="s">
        <v>216</v>
      </c>
      <c r="G16" s="6" t="s">
        <v>217</v>
      </c>
      <c r="H16" s="6" t="s">
        <v>133</v>
      </c>
      <c r="I16" s="7" t="s">
        <v>134</v>
      </c>
      <c r="J16" s="8" t="s">
        <v>14</v>
      </c>
      <c r="K16" s="8" t="s">
        <v>14</v>
      </c>
      <c r="L16" s="8" t="s">
        <v>218</v>
      </c>
    </row>
    <row r="17" spans="1:12" ht="77.25" customHeight="1" x14ac:dyDescent="0.35">
      <c r="A17" s="6">
        <v>16</v>
      </c>
      <c r="B17" s="6" t="s">
        <v>219</v>
      </c>
      <c r="C17" s="6" t="s">
        <v>220</v>
      </c>
      <c r="D17" s="6" t="s">
        <v>221</v>
      </c>
      <c r="E17" s="6" t="s">
        <v>176</v>
      </c>
      <c r="F17" s="6" t="s">
        <v>222</v>
      </c>
      <c r="G17" s="6" t="s">
        <v>223</v>
      </c>
      <c r="H17" s="6" t="s">
        <v>133</v>
      </c>
      <c r="I17" s="7" t="s">
        <v>134</v>
      </c>
      <c r="J17" s="8" t="s">
        <v>18</v>
      </c>
      <c r="K17" s="8" t="s">
        <v>14</v>
      </c>
      <c r="L17" s="8" t="s">
        <v>224</v>
      </c>
    </row>
    <row r="18" spans="1:12" ht="153" customHeight="1" x14ac:dyDescent="0.35">
      <c r="A18" s="6">
        <v>17</v>
      </c>
      <c r="B18" s="6" t="s">
        <v>225</v>
      </c>
      <c r="C18" s="6" t="s">
        <v>226</v>
      </c>
      <c r="D18" s="6" t="s">
        <v>227</v>
      </c>
      <c r="E18" s="6" t="s">
        <v>131</v>
      </c>
      <c r="F18" s="6" t="s">
        <v>228</v>
      </c>
      <c r="G18" s="6" t="s">
        <v>229</v>
      </c>
      <c r="H18" s="6" t="s">
        <v>230</v>
      </c>
      <c r="I18" s="7" t="s">
        <v>134</v>
      </c>
      <c r="J18" s="8" t="s">
        <v>14</v>
      </c>
      <c r="K18" s="8" t="s">
        <v>14</v>
      </c>
      <c r="L18" s="8" t="s">
        <v>231</v>
      </c>
    </row>
    <row r="19" spans="1:12" ht="51.75" customHeight="1" x14ac:dyDescent="0.35">
      <c r="A19" s="6">
        <v>18</v>
      </c>
      <c r="B19" s="6" t="s">
        <v>232</v>
      </c>
      <c r="C19" s="6" t="s">
        <v>233</v>
      </c>
      <c r="D19" s="6" t="s">
        <v>234</v>
      </c>
      <c r="E19" s="6" t="s">
        <v>131</v>
      </c>
      <c r="F19" s="6" t="s">
        <v>157</v>
      </c>
      <c r="G19" s="6" t="s">
        <v>235</v>
      </c>
      <c r="H19" s="6" t="s">
        <v>133</v>
      </c>
      <c r="I19" s="7" t="s">
        <v>134</v>
      </c>
      <c r="J19" s="8" t="s">
        <v>14</v>
      </c>
      <c r="K19" s="8" t="s">
        <v>14</v>
      </c>
      <c r="L19" s="8" t="s">
        <v>236</v>
      </c>
    </row>
    <row r="20" spans="1:12" ht="39" customHeight="1" x14ac:dyDescent="0.35">
      <c r="A20" s="6">
        <v>19</v>
      </c>
      <c r="B20" s="6" t="s">
        <v>237</v>
      </c>
      <c r="C20" s="6" t="s">
        <v>238</v>
      </c>
      <c r="D20" s="6" t="s">
        <v>239</v>
      </c>
      <c r="E20" s="6" t="s">
        <v>131</v>
      </c>
      <c r="F20" s="6" t="s">
        <v>240</v>
      </c>
      <c r="G20" s="6" t="s">
        <v>241</v>
      </c>
      <c r="H20" s="6" t="s">
        <v>133</v>
      </c>
      <c r="I20" s="7" t="s">
        <v>134</v>
      </c>
      <c r="J20" s="8" t="s">
        <v>14</v>
      </c>
      <c r="K20" s="8" t="s">
        <v>14</v>
      </c>
      <c r="L20" s="8" t="s">
        <v>242</v>
      </c>
    </row>
    <row r="21" spans="1:12" ht="26.25" customHeight="1" x14ac:dyDescent="0.35">
      <c r="A21" s="6">
        <v>20</v>
      </c>
      <c r="B21" s="6" t="s">
        <v>243</v>
      </c>
      <c r="C21" s="6" t="s">
        <v>244</v>
      </c>
      <c r="D21" s="6" t="s">
        <v>245</v>
      </c>
      <c r="E21" s="6" t="s">
        <v>176</v>
      </c>
      <c r="F21" s="6" t="s">
        <v>246</v>
      </c>
      <c r="G21" s="6" t="s">
        <v>246</v>
      </c>
      <c r="H21" s="6" t="s">
        <v>133</v>
      </c>
      <c r="I21" s="7" t="s">
        <v>134</v>
      </c>
      <c r="J21" s="8" t="s">
        <v>14</v>
      </c>
      <c r="K21" s="8" t="s">
        <v>14</v>
      </c>
      <c r="L21" s="8" t="s">
        <v>247</v>
      </c>
    </row>
    <row r="22" spans="1:12" ht="26.25" customHeight="1" x14ac:dyDescent="0.35">
      <c r="A22" s="6">
        <v>21</v>
      </c>
      <c r="B22" s="6" t="s">
        <v>248</v>
      </c>
      <c r="C22" s="6" t="s">
        <v>249</v>
      </c>
      <c r="D22" s="6" t="s">
        <v>250</v>
      </c>
      <c r="E22" s="6" t="s">
        <v>139</v>
      </c>
      <c r="F22" s="6" t="s">
        <v>251</v>
      </c>
      <c r="G22" s="6" t="s">
        <v>252</v>
      </c>
      <c r="H22" s="6" t="s">
        <v>133</v>
      </c>
      <c r="I22" s="7" t="s">
        <v>134</v>
      </c>
      <c r="J22" s="8" t="s">
        <v>14</v>
      </c>
      <c r="K22" s="8" t="s">
        <v>14</v>
      </c>
      <c r="L22" s="8" t="s">
        <v>253</v>
      </c>
    </row>
    <row r="23" spans="1:12" ht="51.75" customHeight="1" x14ac:dyDescent="0.35">
      <c r="A23" s="6">
        <v>22</v>
      </c>
      <c r="B23" s="6" t="s">
        <v>254</v>
      </c>
      <c r="C23" s="6" t="s">
        <v>255</v>
      </c>
      <c r="D23" s="6" t="s">
        <v>256</v>
      </c>
      <c r="E23" s="6" t="s">
        <v>131</v>
      </c>
      <c r="F23" s="6" t="s">
        <v>157</v>
      </c>
      <c r="G23" s="6" t="s">
        <v>235</v>
      </c>
      <c r="H23" s="6" t="s">
        <v>133</v>
      </c>
      <c r="I23" s="7" t="s">
        <v>134</v>
      </c>
      <c r="J23" s="8" t="s">
        <v>14</v>
      </c>
      <c r="K23" s="8" t="s">
        <v>14</v>
      </c>
      <c r="L23" s="8" t="s">
        <v>257</v>
      </c>
    </row>
    <row r="24" spans="1:12" ht="90" customHeight="1" x14ac:dyDescent="0.35">
      <c r="A24" s="6">
        <v>23</v>
      </c>
      <c r="B24" s="6" t="s">
        <v>258</v>
      </c>
      <c r="C24" s="6" t="s">
        <v>259</v>
      </c>
      <c r="D24" s="6" t="s">
        <v>260</v>
      </c>
      <c r="E24" s="6" t="s">
        <v>131</v>
      </c>
      <c r="F24" s="6" t="s">
        <v>261</v>
      </c>
      <c r="G24" s="6" t="s">
        <v>262</v>
      </c>
      <c r="H24" s="6" t="s">
        <v>133</v>
      </c>
      <c r="I24" s="7" t="s">
        <v>134</v>
      </c>
      <c r="J24" s="8" t="s">
        <v>14</v>
      </c>
      <c r="K24" s="8" t="s">
        <v>14</v>
      </c>
      <c r="L24" s="8" t="s">
        <v>263</v>
      </c>
    </row>
    <row r="25" spans="1:12" ht="51.75" customHeight="1" x14ac:dyDescent="0.35">
      <c r="A25" s="6">
        <v>24</v>
      </c>
      <c r="B25" s="6" t="s">
        <v>264</v>
      </c>
      <c r="C25" s="6" t="s">
        <v>265</v>
      </c>
      <c r="D25" s="6" t="s">
        <v>266</v>
      </c>
      <c r="E25" s="6" t="s">
        <v>131</v>
      </c>
      <c r="F25" s="6" t="s">
        <v>267</v>
      </c>
      <c r="G25" s="6" t="s">
        <v>268</v>
      </c>
      <c r="H25" s="6" t="s">
        <v>133</v>
      </c>
      <c r="I25" s="7" t="s">
        <v>134</v>
      </c>
      <c r="J25" s="8" t="s">
        <v>14</v>
      </c>
      <c r="K25" s="8" t="s">
        <v>14</v>
      </c>
      <c r="L25" s="8" t="s">
        <v>269</v>
      </c>
    </row>
    <row r="26" spans="1:12" ht="39" customHeight="1" x14ac:dyDescent="0.35">
      <c r="A26" s="6">
        <v>25</v>
      </c>
      <c r="B26" s="6" t="s">
        <v>270</v>
      </c>
      <c r="C26" s="6" t="s">
        <v>271</v>
      </c>
      <c r="D26" s="6" t="s">
        <v>272</v>
      </c>
      <c r="E26" s="6" t="s">
        <v>131</v>
      </c>
      <c r="F26" s="6" t="s">
        <v>273</v>
      </c>
      <c r="G26" s="6" t="s">
        <v>273</v>
      </c>
      <c r="H26" s="6" t="s">
        <v>274</v>
      </c>
      <c r="I26" s="7" t="s">
        <v>134</v>
      </c>
      <c r="J26" s="8" t="s">
        <v>14</v>
      </c>
      <c r="K26" s="8" t="s">
        <v>14</v>
      </c>
      <c r="L26" s="8" t="s">
        <v>275</v>
      </c>
    </row>
    <row r="27" spans="1:12" ht="26.25" customHeight="1" x14ac:dyDescent="0.35">
      <c r="A27" s="6">
        <v>26</v>
      </c>
      <c r="B27" s="6" t="s">
        <v>276</v>
      </c>
      <c r="C27" s="6" t="s">
        <v>277</v>
      </c>
      <c r="D27" s="6" t="s">
        <v>278</v>
      </c>
      <c r="E27" s="6" t="s">
        <v>131</v>
      </c>
      <c r="F27" s="6" t="s">
        <v>279</v>
      </c>
      <c r="G27" s="6" t="s">
        <v>279</v>
      </c>
      <c r="H27" s="6" t="s">
        <v>133</v>
      </c>
      <c r="I27" s="7" t="s">
        <v>134</v>
      </c>
      <c r="J27" s="8" t="s">
        <v>14</v>
      </c>
      <c r="K27" s="8" t="s">
        <v>14</v>
      </c>
      <c r="L27" s="8" t="s">
        <v>280</v>
      </c>
    </row>
    <row r="28" spans="1:12" ht="26.25" customHeight="1" x14ac:dyDescent="0.35">
      <c r="A28" s="6">
        <v>27</v>
      </c>
      <c r="B28" s="6" t="s">
        <v>281</v>
      </c>
      <c r="C28" s="6" t="s">
        <v>282</v>
      </c>
      <c r="D28" s="6" t="s">
        <v>283</v>
      </c>
      <c r="E28" s="6" t="s">
        <v>139</v>
      </c>
      <c r="F28" s="6" t="s">
        <v>284</v>
      </c>
      <c r="G28" s="6" t="s">
        <v>285</v>
      </c>
      <c r="H28" s="6" t="s">
        <v>133</v>
      </c>
      <c r="I28" s="7" t="s">
        <v>134</v>
      </c>
      <c r="J28" s="8" t="s">
        <v>14</v>
      </c>
      <c r="K28" s="8" t="s">
        <v>14</v>
      </c>
      <c r="L28" s="8" t="s">
        <v>286</v>
      </c>
    </row>
    <row r="29" spans="1:12" ht="39" customHeight="1" x14ac:dyDescent="0.35">
      <c r="A29" s="6">
        <v>28</v>
      </c>
      <c r="B29" s="6" t="s">
        <v>287</v>
      </c>
      <c r="C29" s="6" t="s">
        <v>288</v>
      </c>
      <c r="D29" s="6" t="s">
        <v>289</v>
      </c>
      <c r="E29" s="6" t="s">
        <v>131</v>
      </c>
      <c r="F29" s="6" t="s">
        <v>290</v>
      </c>
      <c r="G29" s="6" t="s">
        <v>290</v>
      </c>
      <c r="H29" s="6" t="s">
        <v>133</v>
      </c>
      <c r="I29" s="7" t="s">
        <v>134</v>
      </c>
      <c r="J29" s="8" t="s">
        <v>14</v>
      </c>
      <c r="K29" s="8" t="s">
        <v>14</v>
      </c>
      <c r="L29" s="8" t="s">
        <v>291</v>
      </c>
    </row>
    <row r="30" spans="1:12" ht="51.75" customHeight="1" x14ac:dyDescent="0.35">
      <c r="A30" s="6">
        <v>29</v>
      </c>
      <c r="B30" s="6" t="s">
        <v>292</v>
      </c>
      <c r="C30" s="6" t="s">
        <v>293</v>
      </c>
      <c r="D30" s="6" t="s">
        <v>294</v>
      </c>
      <c r="E30" s="6" t="s">
        <v>131</v>
      </c>
      <c r="F30" s="6" t="s">
        <v>295</v>
      </c>
      <c r="G30" s="6" t="s">
        <v>296</v>
      </c>
      <c r="H30" s="6" t="s">
        <v>133</v>
      </c>
      <c r="I30" s="7" t="s">
        <v>134</v>
      </c>
      <c r="J30" s="8" t="s">
        <v>14</v>
      </c>
      <c r="K30" s="8" t="s">
        <v>14</v>
      </c>
      <c r="L30" s="8" t="s">
        <v>297</v>
      </c>
    </row>
    <row r="31" spans="1:12" ht="39" customHeight="1" x14ac:dyDescent="0.35">
      <c r="A31" s="6">
        <v>30</v>
      </c>
      <c r="B31" s="6" t="s">
        <v>298</v>
      </c>
      <c r="C31" s="6" t="s">
        <v>299</v>
      </c>
      <c r="D31" s="6" t="s">
        <v>300</v>
      </c>
      <c r="E31" s="6" t="s">
        <v>131</v>
      </c>
      <c r="F31" s="6" t="s">
        <v>301</v>
      </c>
      <c r="G31" s="6" t="s">
        <v>302</v>
      </c>
      <c r="H31" s="6" t="s">
        <v>133</v>
      </c>
      <c r="I31" s="7" t="s">
        <v>134</v>
      </c>
      <c r="J31" s="8" t="s">
        <v>14</v>
      </c>
      <c r="K31" s="8" t="s">
        <v>14</v>
      </c>
      <c r="L31" s="8" t="s">
        <v>303</v>
      </c>
    </row>
    <row r="32" spans="1:12" ht="26.25" customHeight="1" x14ac:dyDescent="0.35">
      <c r="A32" s="6">
        <v>31</v>
      </c>
      <c r="B32" s="6" t="s">
        <v>304</v>
      </c>
      <c r="C32" s="6" t="s">
        <v>305</v>
      </c>
      <c r="D32" s="6" t="s">
        <v>306</v>
      </c>
      <c r="E32" s="6" t="s">
        <v>176</v>
      </c>
      <c r="F32" s="6" t="s">
        <v>246</v>
      </c>
      <c r="G32" s="6" t="s">
        <v>246</v>
      </c>
      <c r="H32" s="6" t="s">
        <v>133</v>
      </c>
      <c r="I32" s="7" t="s">
        <v>134</v>
      </c>
      <c r="J32" s="8" t="s">
        <v>14</v>
      </c>
      <c r="K32" s="8" t="s">
        <v>14</v>
      </c>
      <c r="L32" s="8" t="s">
        <v>307</v>
      </c>
    </row>
    <row r="33" spans="1:12" ht="90" customHeight="1" x14ac:dyDescent="0.35">
      <c r="A33" s="6">
        <v>32</v>
      </c>
      <c r="B33" s="6" t="s">
        <v>308</v>
      </c>
      <c r="C33" s="6" t="s">
        <v>309</v>
      </c>
      <c r="D33" s="6" t="s">
        <v>310</v>
      </c>
      <c r="E33" s="6" t="s">
        <v>176</v>
      </c>
      <c r="F33" s="6" t="s">
        <v>311</v>
      </c>
      <c r="G33" s="6" t="s">
        <v>312</v>
      </c>
      <c r="H33" s="6" t="s">
        <v>133</v>
      </c>
      <c r="I33" s="7" t="s">
        <v>134</v>
      </c>
      <c r="J33" s="8" t="s">
        <v>18</v>
      </c>
      <c r="K33" s="8" t="s">
        <v>18</v>
      </c>
      <c r="L33" s="8" t="s">
        <v>313</v>
      </c>
    </row>
    <row r="34" spans="1:12" ht="51.75" customHeight="1" x14ac:dyDescent="0.35">
      <c r="A34" s="6">
        <v>33</v>
      </c>
      <c r="B34" s="6" t="s">
        <v>314</v>
      </c>
      <c r="C34" s="6" t="s">
        <v>315</v>
      </c>
      <c r="D34" s="6" t="s">
        <v>316</v>
      </c>
      <c r="E34" s="6" t="s">
        <v>131</v>
      </c>
      <c r="F34" s="6" t="s">
        <v>317</v>
      </c>
      <c r="G34" s="6" t="s">
        <v>318</v>
      </c>
      <c r="H34" s="6" t="s">
        <v>133</v>
      </c>
      <c r="I34" s="7" t="s">
        <v>134</v>
      </c>
      <c r="J34" s="8" t="s">
        <v>14</v>
      </c>
      <c r="K34" s="8" t="s">
        <v>14</v>
      </c>
      <c r="L34" s="8" t="s">
        <v>319</v>
      </c>
    </row>
    <row r="35" spans="1:12" ht="26.25" customHeight="1" x14ac:dyDescent="0.35">
      <c r="A35" s="6">
        <v>34</v>
      </c>
      <c r="B35" s="6" t="s">
        <v>320</v>
      </c>
      <c r="C35" s="6" t="s">
        <v>321</v>
      </c>
      <c r="D35" s="6" t="s">
        <v>322</v>
      </c>
      <c r="E35" s="6" t="s">
        <v>139</v>
      </c>
      <c r="F35" s="6" t="s">
        <v>323</v>
      </c>
      <c r="G35" s="6" t="s">
        <v>324</v>
      </c>
      <c r="H35" s="6" t="s">
        <v>133</v>
      </c>
      <c r="I35" s="7" t="s">
        <v>134</v>
      </c>
      <c r="J35" s="8" t="s">
        <v>14</v>
      </c>
      <c r="K35" s="8" t="s">
        <v>14</v>
      </c>
      <c r="L35" s="8" t="s">
        <v>325</v>
      </c>
    </row>
    <row r="36" spans="1:12" ht="26.25" customHeight="1" x14ac:dyDescent="0.35">
      <c r="A36" s="6">
        <v>35</v>
      </c>
      <c r="B36" s="6" t="s">
        <v>326</v>
      </c>
      <c r="C36" s="6" t="s">
        <v>327</v>
      </c>
      <c r="D36" s="6" t="s">
        <v>328</v>
      </c>
      <c r="E36" s="6" t="s">
        <v>131</v>
      </c>
      <c r="F36" s="6" t="s">
        <v>329</v>
      </c>
      <c r="G36" s="6" t="s">
        <v>329</v>
      </c>
      <c r="H36" s="6" t="s">
        <v>133</v>
      </c>
      <c r="I36" s="7" t="s">
        <v>134</v>
      </c>
      <c r="J36" s="8" t="s">
        <v>14</v>
      </c>
      <c r="K36" s="8" t="s">
        <v>14</v>
      </c>
      <c r="L36" s="8" t="s">
        <v>330</v>
      </c>
    </row>
    <row r="37" spans="1:12" ht="178.5" customHeight="1" x14ac:dyDescent="0.35">
      <c r="A37" s="6">
        <v>36</v>
      </c>
      <c r="B37" s="6" t="s">
        <v>331</v>
      </c>
      <c r="C37" s="6" t="s">
        <v>332</v>
      </c>
      <c r="D37" s="6" t="s">
        <v>333</v>
      </c>
      <c r="E37" s="6" t="s">
        <v>131</v>
      </c>
      <c r="F37" s="6" t="s">
        <v>334</v>
      </c>
      <c r="G37" s="6" t="s">
        <v>335</v>
      </c>
      <c r="H37" s="6" t="s">
        <v>133</v>
      </c>
      <c r="I37" s="7" t="s">
        <v>134</v>
      </c>
      <c r="J37" s="8" t="s">
        <v>14</v>
      </c>
      <c r="K37" s="8" t="s">
        <v>14</v>
      </c>
      <c r="L37" s="8" t="s">
        <v>336</v>
      </c>
    </row>
    <row r="38" spans="1:12" ht="102.75" customHeight="1" x14ac:dyDescent="0.35">
      <c r="A38" s="6">
        <v>37</v>
      </c>
      <c r="B38" s="6" t="s">
        <v>337</v>
      </c>
      <c r="C38" s="6" t="s">
        <v>338</v>
      </c>
      <c r="D38" s="6" t="s">
        <v>339</v>
      </c>
      <c r="E38" s="6" t="s">
        <v>131</v>
      </c>
      <c r="F38" s="6" t="s">
        <v>340</v>
      </c>
      <c r="G38" s="6" t="s">
        <v>341</v>
      </c>
      <c r="H38" s="6" t="s">
        <v>133</v>
      </c>
      <c r="I38" s="7" t="s">
        <v>134</v>
      </c>
      <c r="J38" s="8" t="s">
        <v>14</v>
      </c>
      <c r="K38" s="8" t="s">
        <v>14</v>
      </c>
      <c r="L38" s="8" t="s">
        <v>342</v>
      </c>
    </row>
    <row r="39" spans="1:12" ht="39" customHeight="1" x14ac:dyDescent="0.35">
      <c r="A39" s="6">
        <v>38</v>
      </c>
      <c r="B39" s="6" t="s">
        <v>343</v>
      </c>
      <c r="C39" s="6" t="s">
        <v>344</v>
      </c>
      <c r="D39" s="6" t="s">
        <v>345</v>
      </c>
      <c r="E39" s="6" t="s">
        <v>131</v>
      </c>
      <c r="F39" s="6" t="s">
        <v>346</v>
      </c>
      <c r="G39" s="6" t="s">
        <v>347</v>
      </c>
      <c r="H39" s="6" t="s">
        <v>133</v>
      </c>
      <c r="I39" s="7" t="s">
        <v>134</v>
      </c>
      <c r="J39" s="8" t="s">
        <v>14</v>
      </c>
      <c r="K39" s="8" t="s">
        <v>14</v>
      </c>
      <c r="L39" s="8" t="s">
        <v>348</v>
      </c>
    </row>
    <row r="40" spans="1:12" ht="26.25" customHeight="1" x14ac:dyDescent="0.35">
      <c r="A40" s="6">
        <v>39</v>
      </c>
      <c r="B40" s="6" t="s">
        <v>349</v>
      </c>
      <c r="C40" s="6" t="s">
        <v>350</v>
      </c>
      <c r="D40" s="6" t="s">
        <v>351</v>
      </c>
      <c r="E40" s="6" t="s">
        <v>139</v>
      </c>
      <c r="F40" s="6" t="s">
        <v>352</v>
      </c>
      <c r="G40" s="6" t="s">
        <v>353</v>
      </c>
      <c r="H40" s="6" t="s">
        <v>133</v>
      </c>
      <c r="I40" s="7" t="s">
        <v>134</v>
      </c>
      <c r="J40" s="8" t="s">
        <v>14</v>
      </c>
      <c r="K40" s="8" t="s">
        <v>14</v>
      </c>
      <c r="L40" s="8" t="s">
        <v>354</v>
      </c>
    </row>
    <row r="41" spans="1:12" ht="178.5" customHeight="1" x14ac:dyDescent="0.35">
      <c r="A41" s="6">
        <v>40</v>
      </c>
      <c r="B41" s="6" t="s">
        <v>355</v>
      </c>
      <c r="C41" s="6" t="s">
        <v>356</v>
      </c>
      <c r="D41" s="6" t="s">
        <v>357</v>
      </c>
      <c r="E41" s="6" t="s">
        <v>131</v>
      </c>
      <c r="F41" s="6" t="s">
        <v>358</v>
      </c>
      <c r="G41" s="6" t="s">
        <v>359</v>
      </c>
      <c r="H41" s="6" t="s">
        <v>133</v>
      </c>
      <c r="I41" s="7" t="s">
        <v>134</v>
      </c>
      <c r="J41" s="8" t="s">
        <v>14</v>
      </c>
      <c r="K41" s="8" t="s">
        <v>14</v>
      </c>
      <c r="L41" s="8" t="s">
        <v>360</v>
      </c>
    </row>
    <row r="42" spans="1:12" ht="39" customHeight="1" x14ac:dyDescent="0.35">
      <c r="A42" s="6">
        <v>41</v>
      </c>
      <c r="B42" s="6" t="s">
        <v>361</v>
      </c>
      <c r="C42" s="6" t="s">
        <v>362</v>
      </c>
      <c r="D42" s="6" t="s">
        <v>363</v>
      </c>
      <c r="E42" s="6" t="s">
        <v>131</v>
      </c>
      <c r="F42" s="6" t="s">
        <v>364</v>
      </c>
      <c r="G42" s="6" t="s">
        <v>364</v>
      </c>
      <c r="H42" s="6" t="s">
        <v>133</v>
      </c>
      <c r="I42" s="7" t="s">
        <v>134</v>
      </c>
      <c r="J42" s="8" t="s">
        <v>14</v>
      </c>
      <c r="K42" s="8" t="s">
        <v>14</v>
      </c>
      <c r="L42" s="8" t="s">
        <v>365</v>
      </c>
    </row>
    <row r="43" spans="1:12" ht="39" customHeight="1" x14ac:dyDescent="0.35">
      <c r="A43" s="6">
        <v>42</v>
      </c>
      <c r="B43" s="6" t="s">
        <v>366</v>
      </c>
      <c r="C43" s="6" t="s">
        <v>367</v>
      </c>
      <c r="D43" s="6" t="s">
        <v>368</v>
      </c>
      <c r="E43" s="6" t="s">
        <v>369</v>
      </c>
      <c r="F43" s="6" t="s">
        <v>370</v>
      </c>
      <c r="G43" s="6" t="s">
        <v>371</v>
      </c>
      <c r="H43" s="6" t="s">
        <v>372</v>
      </c>
      <c r="I43" s="7" t="s">
        <v>134</v>
      </c>
      <c r="J43" s="8" t="s">
        <v>14</v>
      </c>
      <c r="K43" s="8" t="s">
        <v>14</v>
      </c>
      <c r="L43" s="8" t="s">
        <v>373</v>
      </c>
    </row>
    <row r="44" spans="1:12" ht="26.25" customHeight="1" x14ac:dyDescent="0.35">
      <c r="A44" s="6">
        <v>43</v>
      </c>
      <c r="B44" s="6" t="s">
        <v>374</v>
      </c>
      <c r="C44" s="6" t="s">
        <v>375</v>
      </c>
      <c r="D44" s="6" t="s">
        <v>376</v>
      </c>
      <c r="E44" s="6" t="s">
        <v>131</v>
      </c>
      <c r="F44" s="6" t="s">
        <v>377</v>
      </c>
      <c r="G44" s="6" t="s">
        <v>378</v>
      </c>
      <c r="H44" s="6" t="s">
        <v>133</v>
      </c>
      <c r="I44" s="7" t="s">
        <v>134</v>
      </c>
      <c r="J44" s="8" t="s">
        <v>14</v>
      </c>
      <c r="K44" s="8" t="s">
        <v>14</v>
      </c>
      <c r="L44" s="8" t="s">
        <v>379</v>
      </c>
    </row>
    <row r="45" spans="1:12" ht="77.25" customHeight="1" x14ac:dyDescent="0.35">
      <c r="A45" s="6">
        <v>44</v>
      </c>
      <c r="B45" s="6" t="s">
        <v>380</v>
      </c>
      <c r="C45" s="6" t="s">
        <v>381</v>
      </c>
      <c r="D45" s="6" t="s">
        <v>382</v>
      </c>
      <c r="E45" s="6" t="s">
        <v>131</v>
      </c>
      <c r="F45" s="6" t="s">
        <v>383</v>
      </c>
      <c r="G45" s="6" t="s">
        <v>384</v>
      </c>
      <c r="H45" s="6" t="s">
        <v>133</v>
      </c>
      <c r="I45" s="7" t="s">
        <v>134</v>
      </c>
      <c r="J45" s="8" t="s">
        <v>14</v>
      </c>
      <c r="K45" s="8" t="s">
        <v>14</v>
      </c>
      <c r="L45" s="8" t="s">
        <v>385</v>
      </c>
    </row>
    <row r="46" spans="1:12" ht="26.25" customHeight="1" x14ac:dyDescent="0.35">
      <c r="A46" s="6">
        <v>45</v>
      </c>
      <c r="B46" s="6" t="s">
        <v>386</v>
      </c>
      <c r="C46" s="6" t="s">
        <v>387</v>
      </c>
      <c r="D46" s="6" t="s">
        <v>388</v>
      </c>
      <c r="E46" s="6" t="s">
        <v>176</v>
      </c>
      <c r="F46" s="6" t="s">
        <v>389</v>
      </c>
      <c r="G46" s="6" t="s">
        <v>389</v>
      </c>
      <c r="H46" s="6" t="s">
        <v>133</v>
      </c>
      <c r="I46" s="7" t="s">
        <v>134</v>
      </c>
      <c r="J46" s="8" t="s">
        <v>18</v>
      </c>
      <c r="K46" s="8" t="s">
        <v>14</v>
      </c>
      <c r="L46" s="8" t="s">
        <v>390</v>
      </c>
    </row>
    <row r="47" spans="1:12" ht="26.25" customHeight="1" x14ac:dyDescent="0.35">
      <c r="A47" s="6">
        <v>46</v>
      </c>
      <c r="B47" s="6" t="s">
        <v>391</v>
      </c>
      <c r="C47" s="6" t="s">
        <v>392</v>
      </c>
      <c r="D47" s="6" t="s">
        <v>393</v>
      </c>
      <c r="E47" s="6" t="s">
        <v>176</v>
      </c>
      <c r="F47" s="6" t="s">
        <v>394</v>
      </c>
      <c r="G47" s="6" t="s">
        <v>394</v>
      </c>
      <c r="H47" s="6" t="s">
        <v>133</v>
      </c>
      <c r="I47" s="7" t="s">
        <v>134</v>
      </c>
      <c r="J47" s="8" t="s">
        <v>14</v>
      </c>
      <c r="K47" s="8" t="s">
        <v>14</v>
      </c>
      <c r="L47" s="8" t="s">
        <v>395</v>
      </c>
    </row>
    <row r="48" spans="1:12" ht="77.25" customHeight="1" x14ac:dyDescent="0.35">
      <c r="A48" s="6">
        <v>47</v>
      </c>
      <c r="B48" s="6" t="s">
        <v>396</v>
      </c>
      <c r="C48" s="6" t="s">
        <v>397</v>
      </c>
      <c r="D48" s="6" t="s">
        <v>398</v>
      </c>
      <c r="E48" s="6" t="s">
        <v>131</v>
      </c>
      <c r="F48" s="6" t="s">
        <v>399</v>
      </c>
      <c r="G48" s="6" t="s">
        <v>400</v>
      </c>
      <c r="H48" s="6" t="s">
        <v>133</v>
      </c>
      <c r="I48" s="7" t="s">
        <v>134</v>
      </c>
      <c r="J48" s="8" t="s">
        <v>14</v>
      </c>
      <c r="K48" s="8" t="s">
        <v>14</v>
      </c>
      <c r="L48" s="8" t="s">
        <v>401</v>
      </c>
    </row>
    <row r="49" spans="1:12" ht="26.25" customHeight="1" x14ac:dyDescent="0.35">
      <c r="A49" s="6">
        <v>48</v>
      </c>
      <c r="B49" s="6" t="s">
        <v>402</v>
      </c>
      <c r="C49" s="6" t="s">
        <v>403</v>
      </c>
      <c r="D49" s="6" t="s">
        <v>404</v>
      </c>
      <c r="E49" s="6" t="s">
        <v>139</v>
      </c>
      <c r="F49" s="6" t="s">
        <v>405</v>
      </c>
      <c r="G49" s="6" t="s">
        <v>406</v>
      </c>
      <c r="H49" s="6" t="s">
        <v>133</v>
      </c>
      <c r="I49" s="7" t="s">
        <v>134</v>
      </c>
      <c r="J49" s="8" t="s">
        <v>14</v>
      </c>
      <c r="K49" s="8" t="s">
        <v>14</v>
      </c>
      <c r="L49" s="8" t="s">
        <v>407</v>
      </c>
    </row>
    <row r="50" spans="1:12" ht="26.25" customHeight="1" x14ac:dyDescent="0.35">
      <c r="A50" s="6">
        <v>49</v>
      </c>
      <c r="B50" s="6" t="s">
        <v>408</v>
      </c>
      <c r="C50" s="6" t="s">
        <v>409</v>
      </c>
      <c r="D50" s="6" t="s">
        <v>410</v>
      </c>
      <c r="E50" s="6" t="s">
        <v>139</v>
      </c>
      <c r="F50" s="6" t="s">
        <v>411</v>
      </c>
      <c r="G50" s="6" t="s">
        <v>412</v>
      </c>
      <c r="H50" s="6" t="s">
        <v>133</v>
      </c>
      <c r="I50" s="7" t="s">
        <v>134</v>
      </c>
      <c r="J50" s="8" t="s">
        <v>18</v>
      </c>
      <c r="K50" s="8" t="s">
        <v>14</v>
      </c>
      <c r="L50" s="8" t="s">
        <v>413</v>
      </c>
    </row>
    <row r="51" spans="1:12" ht="128.25" customHeight="1" x14ac:dyDescent="0.35">
      <c r="A51" s="6">
        <v>50</v>
      </c>
      <c r="B51" s="6" t="s">
        <v>414</v>
      </c>
      <c r="C51" s="6" t="s">
        <v>415</v>
      </c>
      <c r="D51" s="6" t="s">
        <v>416</v>
      </c>
      <c r="E51" s="6" t="s">
        <v>131</v>
      </c>
      <c r="F51" s="6" t="s">
        <v>417</v>
      </c>
      <c r="G51" s="6" t="s">
        <v>418</v>
      </c>
      <c r="H51" s="6" t="s">
        <v>133</v>
      </c>
      <c r="I51" s="7" t="s">
        <v>134</v>
      </c>
      <c r="J51" s="8" t="s">
        <v>14</v>
      </c>
      <c r="K51" s="8" t="s">
        <v>14</v>
      </c>
      <c r="L51" s="8" t="s">
        <v>419</v>
      </c>
    </row>
    <row r="52" spans="1:12" ht="39" customHeight="1" x14ac:dyDescent="0.35">
      <c r="A52" s="6">
        <v>51</v>
      </c>
      <c r="B52" s="6" t="s">
        <v>420</v>
      </c>
      <c r="C52" s="6" t="s">
        <v>421</v>
      </c>
      <c r="D52" s="6" t="s">
        <v>422</v>
      </c>
      <c r="E52" s="6" t="s">
        <v>139</v>
      </c>
      <c r="F52" s="6" t="s">
        <v>251</v>
      </c>
      <c r="G52" s="6" t="s">
        <v>252</v>
      </c>
      <c r="H52" s="6" t="s">
        <v>133</v>
      </c>
      <c r="I52" s="7" t="s">
        <v>134</v>
      </c>
      <c r="J52" s="8" t="s">
        <v>14</v>
      </c>
      <c r="K52" s="8" t="s">
        <v>14</v>
      </c>
      <c r="L52" s="8" t="s">
        <v>423</v>
      </c>
    </row>
    <row r="53" spans="1:12" ht="39" customHeight="1" x14ac:dyDescent="0.35">
      <c r="A53" s="6">
        <v>52</v>
      </c>
      <c r="B53" s="6" t="s">
        <v>424</v>
      </c>
      <c r="C53" s="6" t="s">
        <v>425</v>
      </c>
      <c r="D53" s="6" t="s">
        <v>426</v>
      </c>
      <c r="E53" s="6" t="s">
        <v>176</v>
      </c>
      <c r="F53" s="6" t="s">
        <v>427</v>
      </c>
      <c r="G53" s="6" t="s">
        <v>427</v>
      </c>
      <c r="H53" s="6" t="s">
        <v>133</v>
      </c>
      <c r="I53" s="7" t="s">
        <v>134</v>
      </c>
      <c r="J53" s="8" t="s">
        <v>14</v>
      </c>
      <c r="K53" s="8" t="s">
        <v>14</v>
      </c>
      <c r="L53" s="8" t="s">
        <v>428</v>
      </c>
    </row>
    <row r="54" spans="1:12" ht="26.25" customHeight="1" x14ac:dyDescent="0.35">
      <c r="A54" s="6">
        <v>53</v>
      </c>
      <c r="B54" s="6" t="s">
        <v>429</v>
      </c>
      <c r="C54" s="6" t="s">
        <v>430</v>
      </c>
      <c r="D54" s="6" t="s">
        <v>431</v>
      </c>
      <c r="E54" s="6" t="s">
        <v>131</v>
      </c>
      <c r="F54" s="6" t="s">
        <v>432</v>
      </c>
      <c r="G54" s="6" t="s">
        <v>433</v>
      </c>
      <c r="H54" s="6" t="s">
        <v>133</v>
      </c>
      <c r="I54" s="7" t="s">
        <v>134</v>
      </c>
      <c r="J54" s="8" t="s">
        <v>18</v>
      </c>
      <c r="K54" s="8" t="s">
        <v>18</v>
      </c>
      <c r="L54" s="8" t="s">
        <v>434</v>
      </c>
    </row>
    <row r="55" spans="1:12" ht="51.75" customHeight="1" x14ac:dyDescent="0.35">
      <c r="A55" s="6">
        <v>54</v>
      </c>
      <c r="B55" s="6" t="s">
        <v>435</v>
      </c>
      <c r="C55" s="6" t="s">
        <v>436</v>
      </c>
      <c r="D55" s="6" t="s">
        <v>437</v>
      </c>
      <c r="E55" s="6" t="s">
        <v>131</v>
      </c>
      <c r="F55" s="6" t="s">
        <v>438</v>
      </c>
      <c r="G55" s="6" t="s">
        <v>439</v>
      </c>
      <c r="H55" s="6" t="s">
        <v>133</v>
      </c>
      <c r="I55" s="7" t="s">
        <v>134</v>
      </c>
      <c r="J55" s="8" t="s">
        <v>14</v>
      </c>
      <c r="K55" s="8" t="s">
        <v>14</v>
      </c>
      <c r="L55" s="8" t="s">
        <v>440</v>
      </c>
    </row>
    <row r="56" spans="1:12" ht="26.25" customHeight="1" x14ac:dyDescent="0.35">
      <c r="A56" s="6">
        <v>55</v>
      </c>
      <c r="B56" s="6" t="s">
        <v>441</v>
      </c>
      <c r="C56" s="6" t="s">
        <v>442</v>
      </c>
      <c r="D56" s="6" t="s">
        <v>443</v>
      </c>
      <c r="E56" s="6" t="s">
        <v>139</v>
      </c>
      <c r="F56" s="6" t="s">
        <v>444</v>
      </c>
      <c r="G56" s="6" t="s">
        <v>445</v>
      </c>
      <c r="H56" s="6" t="s">
        <v>133</v>
      </c>
      <c r="I56" s="7" t="s">
        <v>134</v>
      </c>
      <c r="J56" s="8" t="s">
        <v>14</v>
      </c>
      <c r="K56" s="8" t="s">
        <v>14</v>
      </c>
      <c r="L56" s="8" t="s">
        <v>446</v>
      </c>
    </row>
    <row r="57" spans="1:12" ht="178.5" customHeight="1" x14ac:dyDescent="0.35">
      <c r="A57" s="6">
        <v>56</v>
      </c>
      <c r="B57" s="6" t="s">
        <v>447</v>
      </c>
      <c r="C57" s="6" t="s">
        <v>448</v>
      </c>
      <c r="D57" s="6" t="s">
        <v>449</v>
      </c>
      <c r="E57" s="6" t="s">
        <v>131</v>
      </c>
      <c r="F57" s="6" t="s">
        <v>450</v>
      </c>
      <c r="G57" s="6" t="s">
        <v>451</v>
      </c>
      <c r="H57" s="6" t="s">
        <v>133</v>
      </c>
      <c r="I57" s="7" t="s">
        <v>134</v>
      </c>
      <c r="J57" s="8" t="s">
        <v>14</v>
      </c>
      <c r="K57" s="8" t="s">
        <v>14</v>
      </c>
      <c r="L57" s="8" t="s">
        <v>452</v>
      </c>
    </row>
    <row r="58" spans="1:12" ht="26.25" customHeight="1" x14ac:dyDescent="0.35">
      <c r="A58" s="6">
        <v>57</v>
      </c>
      <c r="B58" s="6" t="s">
        <v>453</v>
      </c>
      <c r="C58" s="6" t="s">
        <v>454</v>
      </c>
      <c r="D58" s="6" t="s">
        <v>455</v>
      </c>
      <c r="E58" s="6" t="s">
        <v>131</v>
      </c>
      <c r="F58" s="6" t="s">
        <v>456</v>
      </c>
      <c r="G58" s="6" t="s">
        <v>457</v>
      </c>
      <c r="H58" s="6" t="s">
        <v>133</v>
      </c>
      <c r="I58" s="7" t="s">
        <v>134</v>
      </c>
      <c r="J58" s="8" t="s">
        <v>14</v>
      </c>
      <c r="K58" s="8" t="s">
        <v>14</v>
      </c>
      <c r="L58" s="8" t="s">
        <v>458</v>
      </c>
    </row>
    <row r="59" spans="1:12" ht="26.25" customHeight="1" x14ac:dyDescent="0.35">
      <c r="A59" s="6">
        <v>58</v>
      </c>
      <c r="B59" s="6" t="s">
        <v>459</v>
      </c>
      <c r="C59" s="6" t="s">
        <v>460</v>
      </c>
      <c r="D59" s="6" t="s">
        <v>461</v>
      </c>
      <c r="E59" s="6" t="s">
        <v>131</v>
      </c>
      <c r="F59" s="6" t="s">
        <v>462</v>
      </c>
      <c r="G59" s="6" t="s">
        <v>462</v>
      </c>
      <c r="H59" s="6" t="s">
        <v>133</v>
      </c>
      <c r="I59" s="7" t="s">
        <v>134</v>
      </c>
      <c r="J59" s="8" t="s">
        <v>14</v>
      </c>
      <c r="K59" s="8" t="s">
        <v>14</v>
      </c>
      <c r="L59" s="8" t="s">
        <v>463</v>
      </c>
    </row>
    <row r="60" spans="1:12" ht="39" customHeight="1" x14ac:dyDescent="0.35">
      <c r="A60" s="6">
        <v>59</v>
      </c>
      <c r="B60" s="6" t="s">
        <v>464</v>
      </c>
      <c r="C60" s="6" t="s">
        <v>465</v>
      </c>
      <c r="D60" s="6" t="s">
        <v>466</v>
      </c>
      <c r="E60" s="6" t="s">
        <v>131</v>
      </c>
      <c r="F60" s="6" t="s">
        <v>467</v>
      </c>
      <c r="G60" s="6" t="s">
        <v>468</v>
      </c>
      <c r="H60" s="6" t="s">
        <v>133</v>
      </c>
      <c r="I60" s="7" t="s">
        <v>134</v>
      </c>
      <c r="J60" s="8" t="s">
        <v>14</v>
      </c>
      <c r="K60" s="8" t="s">
        <v>14</v>
      </c>
      <c r="L60" s="8" t="s">
        <v>469</v>
      </c>
    </row>
    <row r="61" spans="1:12" ht="26.25" customHeight="1" x14ac:dyDescent="0.35">
      <c r="A61" s="6">
        <v>60</v>
      </c>
      <c r="B61" s="6" t="s">
        <v>470</v>
      </c>
      <c r="C61" s="6" t="s">
        <v>471</v>
      </c>
      <c r="D61" s="6" t="s">
        <v>472</v>
      </c>
      <c r="E61" s="6" t="s">
        <v>176</v>
      </c>
      <c r="F61" s="6" t="s">
        <v>473</v>
      </c>
      <c r="G61" s="6" t="s">
        <v>473</v>
      </c>
      <c r="H61" s="6" t="s">
        <v>133</v>
      </c>
      <c r="I61" s="7" t="s">
        <v>134</v>
      </c>
      <c r="J61" s="8" t="s">
        <v>14</v>
      </c>
      <c r="K61" s="8" t="s">
        <v>14</v>
      </c>
      <c r="L61" s="8" t="s">
        <v>474</v>
      </c>
    </row>
    <row r="62" spans="1:12" ht="26.25" customHeight="1" x14ac:dyDescent="0.35">
      <c r="A62" s="6">
        <v>61</v>
      </c>
      <c r="B62" s="6" t="s">
        <v>475</v>
      </c>
      <c r="C62" s="6" t="s">
        <v>476</v>
      </c>
      <c r="D62" s="6" t="s">
        <v>477</v>
      </c>
      <c r="E62" s="6" t="s">
        <v>139</v>
      </c>
      <c r="F62" s="6" t="s">
        <v>478</v>
      </c>
      <c r="G62" s="6" t="s">
        <v>479</v>
      </c>
      <c r="H62" s="6" t="s">
        <v>133</v>
      </c>
      <c r="I62" s="7" t="s">
        <v>134</v>
      </c>
      <c r="J62" s="8" t="s">
        <v>18</v>
      </c>
      <c r="K62" s="8" t="s">
        <v>18</v>
      </c>
      <c r="L62" s="8" t="s">
        <v>480</v>
      </c>
    </row>
    <row r="63" spans="1:12" ht="26.25" customHeight="1" x14ac:dyDescent="0.35">
      <c r="A63" s="6">
        <v>62</v>
      </c>
      <c r="B63" s="6" t="s">
        <v>481</v>
      </c>
      <c r="C63" s="6" t="s">
        <v>482</v>
      </c>
      <c r="D63" s="6" t="s">
        <v>483</v>
      </c>
      <c r="E63" s="6" t="s">
        <v>176</v>
      </c>
      <c r="F63" s="6" t="s">
        <v>484</v>
      </c>
      <c r="G63" s="6" t="s">
        <v>484</v>
      </c>
      <c r="H63" s="6" t="s">
        <v>133</v>
      </c>
      <c r="I63" s="7" t="s">
        <v>134</v>
      </c>
      <c r="J63" s="8" t="s">
        <v>14</v>
      </c>
      <c r="K63" s="8" t="s">
        <v>14</v>
      </c>
      <c r="L63" s="8" t="s">
        <v>485</v>
      </c>
    </row>
    <row r="64" spans="1:12" ht="39" customHeight="1" x14ac:dyDescent="0.35">
      <c r="A64" s="6">
        <v>63</v>
      </c>
      <c r="B64" s="6" t="s">
        <v>486</v>
      </c>
      <c r="C64" s="6" t="s">
        <v>487</v>
      </c>
      <c r="D64" s="6" t="s">
        <v>488</v>
      </c>
      <c r="E64" s="6" t="s">
        <v>131</v>
      </c>
      <c r="F64" s="6" t="s">
        <v>489</v>
      </c>
      <c r="G64" s="6" t="s">
        <v>489</v>
      </c>
      <c r="H64" s="6" t="s">
        <v>490</v>
      </c>
      <c r="I64" s="7" t="s">
        <v>134</v>
      </c>
      <c r="J64" s="8" t="s">
        <v>14</v>
      </c>
      <c r="K64" s="8" t="s">
        <v>14</v>
      </c>
      <c r="L64" s="8" t="s">
        <v>491</v>
      </c>
    </row>
    <row r="65" spans="1:12" ht="26.25" customHeight="1" x14ac:dyDescent="0.35">
      <c r="A65" s="6">
        <v>64</v>
      </c>
      <c r="B65" s="6" t="s">
        <v>492</v>
      </c>
      <c r="C65" s="6" t="s">
        <v>493</v>
      </c>
      <c r="D65" s="6" t="s">
        <v>494</v>
      </c>
      <c r="E65" s="6" t="s">
        <v>139</v>
      </c>
      <c r="F65" s="6" t="s">
        <v>199</v>
      </c>
      <c r="G65" s="6" t="s">
        <v>200</v>
      </c>
      <c r="H65" s="6" t="s">
        <v>133</v>
      </c>
      <c r="I65" s="7" t="s">
        <v>134</v>
      </c>
      <c r="J65" s="8" t="s">
        <v>14</v>
      </c>
      <c r="K65" s="8" t="s">
        <v>14</v>
      </c>
      <c r="L65" s="8" t="s">
        <v>495</v>
      </c>
    </row>
    <row r="66" spans="1:12" ht="26.25" customHeight="1" x14ac:dyDescent="0.35">
      <c r="A66" s="6">
        <v>65</v>
      </c>
      <c r="B66" s="6" t="s">
        <v>496</v>
      </c>
      <c r="C66" s="6" t="s">
        <v>497</v>
      </c>
      <c r="D66" s="6" t="s">
        <v>498</v>
      </c>
      <c r="E66" s="6" t="s">
        <v>176</v>
      </c>
      <c r="F66" s="6" t="s">
        <v>499</v>
      </c>
      <c r="G66" s="6" t="s">
        <v>499</v>
      </c>
      <c r="H66" s="6" t="s">
        <v>133</v>
      </c>
      <c r="I66" s="7" t="s">
        <v>134</v>
      </c>
      <c r="J66" s="8" t="s">
        <v>14</v>
      </c>
      <c r="K66" s="8" t="s">
        <v>14</v>
      </c>
      <c r="L66" s="8" t="s">
        <v>500</v>
      </c>
    </row>
    <row r="67" spans="1:12" ht="39" customHeight="1" x14ac:dyDescent="0.35">
      <c r="A67" s="6">
        <v>66</v>
      </c>
      <c r="B67" s="6" t="s">
        <v>501</v>
      </c>
      <c r="C67" s="6" t="s">
        <v>502</v>
      </c>
      <c r="D67" s="6" t="s">
        <v>503</v>
      </c>
      <c r="E67" s="6" t="s">
        <v>131</v>
      </c>
      <c r="F67" s="6" t="s">
        <v>504</v>
      </c>
      <c r="G67" s="6" t="s">
        <v>505</v>
      </c>
      <c r="H67" s="6" t="s">
        <v>133</v>
      </c>
      <c r="I67" s="7" t="s">
        <v>134</v>
      </c>
      <c r="J67" s="8" t="s">
        <v>14</v>
      </c>
      <c r="K67" s="8" t="s">
        <v>14</v>
      </c>
      <c r="L67" s="8" t="s">
        <v>506</v>
      </c>
    </row>
    <row r="68" spans="1:12" ht="39" customHeight="1" x14ac:dyDescent="0.35">
      <c r="A68" s="6">
        <v>67</v>
      </c>
      <c r="B68" s="6" t="s">
        <v>507</v>
      </c>
      <c r="C68" s="6" t="s">
        <v>508</v>
      </c>
      <c r="D68" s="6" t="s">
        <v>509</v>
      </c>
      <c r="E68" s="6" t="s">
        <v>131</v>
      </c>
      <c r="F68" s="6" t="s">
        <v>510</v>
      </c>
      <c r="G68" s="6" t="s">
        <v>511</v>
      </c>
      <c r="H68" s="6" t="s">
        <v>133</v>
      </c>
      <c r="I68" s="7" t="s">
        <v>134</v>
      </c>
      <c r="J68" s="8" t="s">
        <v>14</v>
      </c>
      <c r="K68" s="8" t="s">
        <v>14</v>
      </c>
      <c r="L68" s="8" t="s">
        <v>512</v>
      </c>
    </row>
    <row r="69" spans="1:12" ht="26.25" customHeight="1" x14ac:dyDescent="0.35">
      <c r="A69" s="6">
        <v>68</v>
      </c>
      <c r="B69" s="6" t="s">
        <v>513</v>
      </c>
      <c r="C69" s="6" t="s">
        <v>514</v>
      </c>
      <c r="D69" s="6" t="s">
        <v>515</v>
      </c>
      <c r="E69" s="6" t="s">
        <v>139</v>
      </c>
      <c r="F69" s="6" t="s">
        <v>478</v>
      </c>
      <c r="G69" s="6" t="s">
        <v>479</v>
      </c>
      <c r="H69" s="6" t="s">
        <v>133</v>
      </c>
      <c r="I69" s="7" t="s">
        <v>134</v>
      </c>
      <c r="J69" s="8" t="s">
        <v>14</v>
      </c>
      <c r="K69" s="8" t="s">
        <v>14</v>
      </c>
      <c r="L69" s="8" t="s">
        <v>516</v>
      </c>
    </row>
    <row r="70" spans="1:12" ht="39" customHeight="1" x14ac:dyDescent="0.35">
      <c r="A70" s="6">
        <v>69</v>
      </c>
      <c r="B70" s="6" t="s">
        <v>517</v>
      </c>
      <c r="C70" s="6" t="s">
        <v>518</v>
      </c>
      <c r="D70" s="6" t="s">
        <v>519</v>
      </c>
      <c r="E70" s="6" t="s">
        <v>131</v>
      </c>
      <c r="F70" s="6" t="s">
        <v>520</v>
      </c>
      <c r="G70" s="6" t="s">
        <v>521</v>
      </c>
      <c r="H70" s="6" t="s">
        <v>133</v>
      </c>
      <c r="I70" s="7" t="s">
        <v>134</v>
      </c>
      <c r="J70" s="8" t="s">
        <v>14</v>
      </c>
      <c r="K70" s="8" t="s">
        <v>14</v>
      </c>
      <c r="L70" s="8" t="s">
        <v>522</v>
      </c>
    </row>
    <row r="71" spans="1:12" ht="280.5" customHeight="1" x14ac:dyDescent="0.35">
      <c r="A71" s="6">
        <v>70</v>
      </c>
      <c r="B71" s="6" t="s">
        <v>523</v>
      </c>
      <c r="C71" s="6" t="s">
        <v>524</v>
      </c>
      <c r="D71" s="6" t="s">
        <v>525</v>
      </c>
      <c r="E71" s="6" t="s">
        <v>131</v>
      </c>
      <c r="F71" s="6" t="s">
        <v>526</v>
      </c>
      <c r="G71" s="6" t="s">
        <v>527</v>
      </c>
      <c r="H71" s="6" t="s">
        <v>133</v>
      </c>
      <c r="I71" s="7" t="s">
        <v>134</v>
      </c>
      <c r="J71" s="8" t="s">
        <v>14</v>
      </c>
      <c r="K71" s="8" t="s">
        <v>14</v>
      </c>
      <c r="L71" s="8" t="s">
        <v>528</v>
      </c>
    </row>
    <row r="72" spans="1:12" ht="26.25" customHeight="1" x14ac:dyDescent="0.35">
      <c r="A72" s="6">
        <v>71</v>
      </c>
      <c r="B72" s="6" t="s">
        <v>529</v>
      </c>
      <c r="C72" s="6" t="s">
        <v>530</v>
      </c>
      <c r="D72" s="6" t="s">
        <v>531</v>
      </c>
      <c r="E72" s="6" t="s">
        <v>176</v>
      </c>
      <c r="F72" s="6" t="s">
        <v>532</v>
      </c>
      <c r="G72" s="6" t="s">
        <v>532</v>
      </c>
      <c r="H72" s="6" t="s">
        <v>133</v>
      </c>
      <c r="I72" s="7" t="s">
        <v>134</v>
      </c>
      <c r="J72" s="8" t="s">
        <v>14</v>
      </c>
      <c r="K72" s="8" t="s">
        <v>14</v>
      </c>
      <c r="L72" s="8" t="s">
        <v>533</v>
      </c>
    </row>
    <row r="73" spans="1:12" ht="141" customHeight="1" x14ac:dyDescent="0.35">
      <c r="A73" s="6">
        <v>72</v>
      </c>
      <c r="B73" s="6" t="s">
        <v>534</v>
      </c>
      <c r="C73" s="6" t="s">
        <v>535</v>
      </c>
      <c r="D73" s="6" t="s">
        <v>536</v>
      </c>
      <c r="E73" s="6" t="s">
        <v>131</v>
      </c>
      <c r="F73" s="6" t="s">
        <v>450</v>
      </c>
      <c r="G73" s="6" t="s">
        <v>537</v>
      </c>
      <c r="H73" s="6" t="s">
        <v>133</v>
      </c>
      <c r="I73" s="7" t="s">
        <v>134</v>
      </c>
      <c r="J73" s="8" t="s">
        <v>14</v>
      </c>
      <c r="K73" s="8" t="s">
        <v>14</v>
      </c>
      <c r="L73" s="8" t="s">
        <v>538</v>
      </c>
    </row>
    <row r="74" spans="1:12" ht="102.75" customHeight="1" x14ac:dyDescent="0.35">
      <c r="A74" s="6">
        <v>73</v>
      </c>
      <c r="B74" s="6" t="s">
        <v>539</v>
      </c>
      <c r="C74" s="6" t="s">
        <v>540</v>
      </c>
      <c r="D74" s="6" t="s">
        <v>541</v>
      </c>
      <c r="E74" s="6" t="s">
        <v>176</v>
      </c>
      <c r="F74" s="6" t="s">
        <v>542</v>
      </c>
      <c r="G74" s="6" t="s">
        <v>543</v>
      </c>
      <c r="H74" s="6" t="s">
        <v>133</v>
      </c>
      <c r="I74" s="7" t="s">
        <v>134</v>
      </c>
      <c r="J74" s="8" t="s">
        <v>14</v>
      </c>
      <c r="K74" s="8" t="s">
        <v>14</v>
      </c>
      <c r="L74" s="8" t="s">
        <v>544</v>
      </c>
    </row>
    <row r="75" spans="1:12" ht="51.75" customHeight="1" x14ac:dyDescent="0.35">
      <c r="A75" s="6">
        <v>74</v>
      </c>
      <c r="B75" s="6" t="s">
        <v>545</v>
      </c>
      <c r="C75" s="6" t="s">
        <v>546</v>
      </c>
      <c r="D75" s="6" t="s">
        <v>547</v>
      </c>
      <c r="E75" s="6" t="s">
        <v>131</v>
      </c>
      <c r="F75" s="6" t="s">
        <v>548</v>
      </c>
      <c r="G75" s="6" t="s">
        <v>549</v>
      </c>
      <c r="H75" s="6" t="s">
        <v>133</v>
      </c>
      <c r="I75" s="7" t="s">
        <v>134</v>
      </c>
      <c r="J75" s="8" t="s">
        <v>14</v>
      </c>
      <c r="K75" s="8" t="s">
        <v>14</v>
      </c>
      <c r="L75" s="8" t="s">
        <v>550</v>
      </c>
    </row>
    <row r="76" spans="1:12" ht="26.25" customHeight="1" x14ac:dyDescent="0.35">
      <c r="A76" s="6">
        <v>75</v>
      </c>
      <c r="B76" s="6" t="s">
        <v>551</v>
      </c>
      <c r="C76" s="6" t="s">
        <v>552</v>
      </c>
      <c r="D76" s="6" t="s">
        <v>553</v>
      </c>
      <c r="E76" s="6" t="s">
        <v>176</v>
      </c>
      <c r="F76" s="6" t="s">
        <v>554</v>
      </c>
      <c r="G76" s="6" t="s">
        <v>554</v>
      </c>
      <c r="H76" s="6" t="s">
        <v>133</v>
      </c>
      <c r="I76" s="7" t="s">
        <v>134</v>
      </c>
      <c r="J76" s="8" t="s">
        <v>18</v>
      </c>
      <c r="K76" s="8" t="s">
        <v>14</v>
      </c>
      <c r="L76" s="8" t="s">
        <v>555</v>
      </c>
    </row>
    <row r="77" spans="1:12" ht="39" customHeight="1" x14ac:dyDescent="0.35">
      <c r="A77" s="6">
        <v>76</v>
      </c>
      <c r="B77" s="6" t="s">
        <v>556</v>
      </c>
      <c r="C77" s="6" t="s">
        <v>557</v>
      </c>
      <c r="D77" s="6" t="s">
        <v>558</v>
      </c>
      <c r="E77" s="6" t="s">
        <v>131</v>
      </c>
      <c r="F77" s="6" t="s">
        <v>559</v>
      </c>
      <c r="G77" s="6" t="s">
        <v>560</v>
      </c>
      <c r="H77" s="6" t="s">
        <v>133</v>
      </c>
      <c r="I77" s="7" t="s">
        <v>134</v>
      </c>
      <c r="J77" s="8" t="s">
        <v>14</v>
      </c>
      <c r="K77" s="8" t="s">
        <v>14</v>
      </c>
      <c r="L77" s="8" t="s">
        <v>561</v>
      </c>
    </row>
    <row r="78" spans="1:12" ht="26.25" customHeight="1" x14ac:dyDescent="0.35">
      <c r="A78" s="6">
        <v>77</v>
      </c>
      <c r="B78" s="6" t="s">
        <v>562</v>
      </c>
      <c r="C78" s="6" t="s">
        <v>563</v>
      </c>
      <c r="D78" s="6" t="s">
        <v>564</v>
      </c>
      <c r="E78" s="6" t="s">
        <v>369</v>
      </c>
      <c r="F78" s="6" t="s">
        <v>565</v>
      </c>
      <c r="G78" s="6" t="s">
        <v>566</v>
      </c>
      <c r="H78" s="6" t="s">
        <v>133</v>
      </c>
      <c r="I78" s="7" t="s">
        <v>134</v>
      </c>
      <c r="J78" s="8" t="s">
        <v>18</v>
      </c>
      <c r="K78" s="8" t="s">
        <v>14</v>
      </c>
      <c r="L78" s="8" t="s">
        <v>567</v>
      </c>
    </row>
    <row r="79" spans="1:12" ht="26.25" customHeight="1" x14ac:dyDescent="0.35">
      <c r="A79" s="6">
        <v>78</v>
      </c>
      <c r="B79" s="6" t="s">
        <v>568</v>
      </c>
      <c r="C79" s="6" t="s">
        <v>569</v>
      </c>
      <c r="D79" s="6" t="s">
        <v>570</v>
      </c>
      <c r="E79" s="6" t="s">
        <v>131</v>
      </c>
      <c r="F79" s="6" t="s">
        <v>571</v>
      </c>
      <c r="G79" s="6" t="s">
        <v>571</v>
      </c>
      <c r="H79" s="6" t="s">
        <v>133</v>
      </c>
      <c r="I79" s="7" t="s">
        <v>134</v>
      </c>
      <c r="J79" s="8" t="s">
        <v>14</v>
      </c>
      <c r="K79" s="8" t="s">
        <v>14</v>
      </c>
      <c r="L79" s="8" t="s">
        <v>572</v>
      </c>
    </row>
    <row r="80" spans="1:12" ht="39" customHeight="1" x14ac:dyDescent="0.35">
      <c r="A80" s="6">
        <v>79</v>
      </c>
      <c r="B80" s="6" t="s">
        <v>573</v>
      </c>
      <c r="C80" s="6" t="s">
        <v>574</v>
      </c>
      <c r="D80" s="6" t="s">
        <v>575</v>
      </c>
      <c r="E80" s="6" t="s">
        <v>131</v>
      </c>
      <c r="F80" s="6" t="s">
        <v>576</v>
      </c>
      <c r="G80" s="6" t="s">
        <v>577</v>
      </c>
      <c r="H80" s="6" t="s">
        <v>133</v>
      </c>
      <c r="I80" s="7" t="s">
        <v>134</v>
      </c>
      <c r="J80" s="8" t="s">
        <v>14</v>
      </c>
      <c r="K80" s="8" t="s">
        <v>14</v>
      </c>
      <c r="L80" s="8" t="s">
        <v>578</v>
      </c>
    </row>
    <row r="81" spans="1:12" ht="26.25" customHeight="1" x14ac:dyDescent="0.35">
      <c r="A81" s="6">
        <v>80</v>
      </c>
      <c r="B81" s="6" t="s">
        <v>579</v>
      </c>
      <c r="C81" s="6" t="s">
        <v>580</v>
      </c>
      <c r="D81" s="6" t="s">
        <v>581</v>
      </c>
      <c r="E81" s="6" t="s">
        <v>139</v>
      </c>
      <c r="F81" s="6" t="s">
        <v>582</v>
      </c>
      <c r="G81" s="6" t="s">
        <v>583</v>
      </c>
      <c r="H81" s="6" t="s">
        <v>133</v>
      </c>
      <c r="I81" s="7" t="s">
        <v>134</v>
      </c>
      <c r="J81" s="8" t="s">
        <v>14</v>
      </c>
      <c r="K81" s="8" t="s">
        <v>14</v>
      </c>
      <c r="L81" s="8" t="s">
        <v>584</v>
      </c>
    </row>
    <row r="82" spans="1:12" ht="26.25" customHeight="1" x14ac:dyDescent="0.35">
      <c r="A82" s="6">
        <v>81</v>
      </c>
      <c r="B82" s="6" t="s">
        <v>585</v>
      </c>
      <c r="C82" s="6" t="s">
        <v>586</v>
      </c>
      <c r="D82" s="6" t="s">
        <v>587</v>
      </c>
      <c r="E82" s="6" t="s">
        <v>176</v>
      </c>
      <c r="F82" s="6" t="s">
        <v>588</v>
      </c>
      <c r="G82" s="6" t="s">
        <v>588</v>
      </c>
      <c r="H82" s="6" t="s">
        <v>133</v>
      </c>
      <c r="I82" s="7" t="s">
        <v>134</v>
      </c>
      <c r="J82" s="8" t="s">
        <v>14</v>
      </c>
      <c r="K82" s="8" t="s">
        <v>14</v>
      </c>
      <c r="L82" s="8" t="s">
        <v>589</v>
      </c>
    </row>
    <row r="83" spans="1:12" ht="26.25" customHeight="1" x14ac:dyDescent="0.35">
      <c r="A83" s="6">
        <v>82</v>
      </c>
      <c r="B83" s="6" t="s">
        <v>590</v>
      </c>
      <c r="C83" s="6" t="s">
        <v>591</v>
      </c>
      <c r="D83" s="6" t="s">
        <v>592</v>
      </c>
      <c r="E83" s="6" t="s">
        <v>131</v>
      </c>
      <c r="F83" s="6" t="s">
        <v>593</v>
      </c>
      <c r="G83" s="6" t="s">
        <v>593</v>
      </c>
      <c r="H83" s="6" t="s">
        <v>133</v>
      </c>
      <c r="I83" s="7" t="s">
        <v>134</v>
      </c>
      <c r="J83" s="8" t="s">
        <v>14</v>
      </c>
      <c r="K83" s="8" t="s">
        <v>14</v>
      </c>
      <c r="L83" s="8" t="s">
        <v>594</v>
      </c>
    </row>
    <row r="84" spans="1:12" ht="26.25" customHeight="1" x14ac:dyDescent="0.35">
      <c r="A84" s="6">
        <v>83</v>
      </c>
      <c r="B84" s="6" t="s">
        <v>595</v>
      </c>
      <c r="C84" s="6" t="s">
        <v>596</v>
      </c>
      <c r="D84" s="6" t="s">
        <v>597</v>
      </c>
      <c r="E84" s="6" t="s">
        <v>176</v>
      </c>
      <c r="F84" s="6" t="s">
        <v>598</v>
      </c>
      <c r="G84" s="6" t="s">
        <v>598</v>
      </c>
      <c r="H84" s="6" t="s">
        <v>133</v>
      </c>
      <c r="I84" s="7" t="s">
        <v>134</v>
      </c>
      <c r="J84" s="8" t="s">
        <v>14</v>
      </c>
      <c r="K84" s="8" t="s">
        <v>14</v>
      </c>
      <c r="L84" s="8" t="s">
        <v>599</v>
      </c>
    </row>
    <row r="85" spans="1:12" ht="26.25" customHeight="1" x14ac:dyDescent="0.35">
      <c r="A85" s="6">
        <v>84</v>
      </c>
      <c r="B85" s="6" t="s">
        <v>600</v>
      </c>
      <c r="C85" s="6" t="s">
        <v>601</v>
      </c>
      <c r="D85" s="6" t="s">
        <v>602</v>
      </c>
      <c r="E85" s="6" t="s">
        <v>139</v>
      </c>
      <c r="F85" s="6" t="s">
        <v>603</v>
      </c>
      <c r="G85" s="6" t="s">
        <v>604</v>
      </c>
      <c r="H85" s="6" t="s">
        <v>133</v>
      </c>
      <c r="I85" s="7" t="s">
        <v>134</v>
      </c>
      <c r="J85" s="8" t="s">
        <v>14</v>
      </c>
      <c r="K85" s="8" t="s">
        <v>14</v>
      </c>
      <c r="L85" s="8" t="s">
        <v>605</v>
      </c>
    </row>
    <row r="86" spans="1:12" ht="26.25" customHeight="1" x14ac:dyDescent="0.35">
      <c r="A86" s="6">
        <v>85</v>
      </c>
      <c r="B86" s="6" t="s">
        <v>606</v>
      </c>
      <c r="C86" s="6" t="s">
        <v>607</v>
      </c>
      <c r="D86" s="6" t="s">
        <v>608</v>
      </c>
      <c r="E86" s="6" t="s">
        <v>131</v>
      </c>
      <c r="F86" s="6" t="s">
        <v>609</v>
      </c>
      <c r="G86" s="6" t="s">
        <v>610</v>
      </c>
      <c r="H86" s="6" t="s">
        <v>133</v>
      </c>
      <c r="I86" s="7" t="s">
        <v>134</v>
      </c>
      <c r="J86" s="8" t="s">
        <v>14</v>
      </c>
      <c r="K86" s="8" t="s">
        <v>14</v>
      </c>
      <c r="L86" s="8" t="s">
        <v>611</v>
      </c>
    </row>
    <row r="87" spans="1:12" ht="128.25" customHeight="1" x14ac:dyDescent="0.35">
      <c r="A87" s="6">
        <v>86</v>
      </c>
      <c r="B87" s="6" t="s">
        <v>612</v>
      </c>
      <c r="C87" s="6" t="s">
        <v>613</v>
      </c>
      <c r="D87" s="6" t="s">
        <v>614</v>
      </c>
      <c r="E87" s="6" t="s">
        <v>131</v>
      </c>
      <c r="F87" s="6" t="s">
        <v>615</v>
      </c>
      <c r="G87" s="6" t="s">
        <v>616</v>
      </c>
      <c r="H87" s="6" t="s">
        <v>133</v>
      </c>
      <c r="I87" s="7" t="s">
        <v>134</v>
      </c>
      <c r="J87" s="8" t="s">
        <v>14</v>
      </c>
      <c r="K87" s="8" t="s">
        <v>14</v>
      </c>
      <c r="L87" s="8" t="s">
        <v>617</v>
      </c>
    </row>
    <row r="88" spans="1:12" ht="26.25" customHeight="1" x14ac:dyDescent="0.35">
      <c r="A88" s="6">
        <v>87</v>
      </c>
      <c r="B88" s="6" t="s">
        <v>618</v>
      </c>
      <c r="C88" s="6" t="s">
        <v>619</v>
      </c>
      <c r="D88" s="6" t="s">
        <v>620</v>
      </c>
      <c r="E88" s="6" t="s">
        <v>139</v>
      </c>
      <c r="F88" s="6" t="s">
        <v>621</v>
      </c>
      <c r="G88" s="6" t="s">
        <v>622</v>
      </c>
      <c r="H88" s="6" t="s">
        <v>133</v>
      </c>
      <c r="I88" s="7" t="s">
        <v>134</v>
      </c>
      <c r="J88" s="8" t="s">
        <v>18</v>
      </c>
      <c r="K88" s="8" t="s">
        <v>14</v>
      </c>
      <c r="L88" s="8" t="s">
        <v>623</v>
      </c>
    </row>
    <row r="89" spans="1:12" ht="26.25" customHeight="1" x14ac:dyDescent="0.35">
      <c r="A89" s="6">
        <v>88</v>
      </c>
      <c r="B89" s="6" t="s">
        <v>624</v>
      </c>
      <c r="C89" s="6" t="s">
        <v>625</v>
      </c>
      <c r="D89" s="6" t="s">
        <v>626</v>
      </c>
      <c r="E89" s="6" t="s">
        <v>369</v>
      </c>
      <c r="F89" s="6" t="s">
        <v>627</v>
      </c>
      <c r="G89" s="6" t="s">
        <v>628</v>
      </c>
      <c r="H89" s="6" t="s">
        <v>133</v>
      </c>
      <c r="I89" s="7" t="s">
        <v>134</v>
      </c>
      <c r="J89" s="8" t="s">
        <v>14</v>
      </c>
      <c r="K89" s="8" t="s">
        <v>14</v>
      </c>
      <c r="L89" s="8" t="s">
        <v>629</v>
      </c>
    </row>
  </sheetData>
  <autoFilter ref="A1:L89" xr:uid="{00000000-0009-0000-0000-000002000000}"/>
  <dataValidations count="1">
    <dataValidation type="list" allowBlank="1" sqref="J2:K89" xr:uid="{00000000-0002-0000-0200-000000000000}">
      <formula1>"yes,no"</formula1>
      <formula2>0</formula2>
    </dataValidation>
  </dataValidations>
  <hyperlinks>
    <hyperlink ref="I2" r:id="rId1" xr:uid="{00000000-0004-0000-0200-000000000000}"/>
    <hyperlink ref="I3" r:id="rId2" xr:uid="{00000000-0004-0000-0200-000001000000}"/>
    <hyperlink ref="I4" r:id="rId3" xr:uid="{00000000-0004-0000-0200-000002000000}"/>
    <hyperlink ref="I5" r:id="rId4" xr:uid="{00000000-0004-0000-0200-000003000000}"/>
    <hyperlink ref="I6" r:id="rId5" xr:uid="{00000000-0004-0000-0200-000004000000}"/>
    <hyperlink ref="I7" r:id="rId6" xr:uid="{00000000-0004-0000-0200-000005000000}"/>
    <hyperlink ref="I8" r:id="rId7" xr:uid="{00000000-0004-0000-0200-000006000000}"/>
    <hyperlink ref="I9" r:id="rId8" xr:uid="{00000000-0004-0000-0200-000007000000}"/>
    <hyperlink ref="I10" r:id="rId9" xr:uid="{00000000-0004-0000-0200-000008000000}"/>
    <hyperlink ref="I11" r:id="rId10" xr:uid="{00000000-0004-0000-0200-000009000000}"/>
    <hyperlink ref="I12" r:id="rId11" xr:uid="{00000000-0004-0000-0200-00000A000000}"/>
    <hyperlink ref="I13" r:id="rId12" xr:uid="{00000000-0004-0000-0200-00000B000000}"/>
    <hyperlink ref="I14" r:id="rId13" xr:uid="{00000000-0004-0000-0200-00000C000000}"/>
    <hyperlink ref="I15" r:id="rId14" xr:uid="{00000000-0004-0000-0200-00000D000000}"/>
    <hyperlink ref="I16" r:id="rId15" xr:uid="{00000000-0004-0000-0200-00000E000000}"/>
    <hyperlink ref="I17" r:id="rId16" xr:uid="{00000000-0004-0000-0200-00000F000000}"/>
    <hyperlink ref="I18" r:id="rId17" xr:uid="{00000000-0004-0000-0200-000010000000}"/>
    <hyperlink ref="I19" r:id="rId18" xr:uid="{00000000-0004-0000-0200-000011000000}"/>
    <hyperlink ref="I20" r:id="rId19" xr:uid="{00000000-0004-0000-0200-000012000000}"/>
    <hyperlink ref="I21" r:id="rId20" xr:uid="{00000000-0004-0000-0200-000013000000}"/>
    <hyperlink ref="I22" r:id="rId21" xr:uid="{00000000-0004-0000-0200-000014000000}"/>
    <hyperlink ref="I23" r:id="rId22" xr:uid="{00000000-0004-0000-0200-000015000000}"/>
    <hyperlink ref="I24" r:id="rId23" xr:uid="{00000000-0004-0000-0200-000016000000}"/>
    <hyperlink ref="I25" r:id="rId24" xr:uid="{00000000-0004-0000-0200-000017000000}"/>
    <hyperlink ref="I26" r:id="rId25" xr:uid="{00000000-0004-0000-0200-000018000000}"/>
    <hyperlink ref="I27" r:id="rId26" xr:uid="{00000000-0004-0000-0200-000019000000}"/>
    <hyperlink ref="I28" r:id="rId27" xr:uid="{00000000-0004-0000-0200-00001A000000}"/>
    <hyperlink ref="I29" r:id="rId28" xr:uid="{00000000-0004-0000-0200-00001B000000}"/>
    <hyperlink ref="I30" r:id="rId29" xr:uid="{00000000-0004-0000-0200-00001C000000}"/>
    <hyperlink ref="I31" r:id="rId30" xr:uid="{00000000-0004-0000-0200-00001D000000}"/>
    <hyperlink ref="I32" r:id="rId31" xr:uid="{00000000-0004-0000-0200-00001E000000}"/>
    <hyperlink ref="I33" r:id="rId32" xr:uid="{00000000-0004-0000-0200-00001F000000}"/>
    <hyperlink ref="I34" r:id="rId33" xr:uid="{00000000-0004-0000-0200-000020000000}"/>
    <hyperlink ref="I35" r:id="rId34" xr:uid="{00000000-0004-0000-0200-000021000000}"/>
    <hyperlink ref="I36" r:id="rId35" xr:uid="{00000000-0004-0000-0200-000022000000}"/>
    <hyperlink ref="I37" r:id="rId36" xr:uid="{00000000-0004-0000-0200-000023000000}"/>
    <hyperlink ref="I38" r:id="rId37" xr:uid="{00000000-0004-0000-0200-000024000000}"/>
    <hyperlink ref="I39" r:id="rId38" xr:uid="{00000000-0004-0000-0200-000025000000}"/>
    <hyperlink ref="I40" r:id="rId39" xr:uid="{00000000-0004-0000-0200-000026000000}"/>
    <hyperlink ref="I41" r:id="rId40" xr:uid="{00000000-0004-0000-0200-000027000000}"/>
    <hyperlink ref="I42" r:id="rId41" xr:uid="{00000000-0004-0000-0200-000028000000}"/>
    <hyperlink ref="I43" r:id="rId42" xr:uid="{00000000-0004-0000-0200-000029000000}"/>
    <hyperlink ref="I44" r:id="rId43" xr:uid="{00000000-0004-0000-0200-00002A000000}"/>
    <hyperlink ref="I45" r:id="rId44" xr:uid="{00000000-0004-0000-0200-00002B000000}"/>
    <hyperlink ref="I46" r:id="rId45" xr:uid="{00000000-0004-0000-0200-00002C000000}"/>
    <hyperlink ref="I47" r:id="rId46" xr:uid="{00000000-0004-0000-0200-00002D000000}"/>
    <hyperlink ref="I48" r:id="rId47" xr:uid="{00000000-0004-0000-0200-00002E000000}"/>
    <hyperlink ref="I49" r:id="rId48" xr:uid="{00000000-0004-0000-0200-00002F000000}"/>
    <hyperlink ref="I50" r:id="rId49" xr:uid="{00000000-0004-0000-0200-000030000000}"/>
    <hyperlink ref="I51" r:id="rId50" xr:uid="{00000000-0004-0000-0200-000031000000}"/>
    <hyperlink ref="I52" r:id="rId51" xr:uid="{00000000-0004-0000-0200-000032000000}"/>
    <hyperlink ref="I53" r:id="rId52" xr:uid="{00000000-0004-0000-0200-000033000000}"/>
    <hyperlink ref="I54" r:id="rId53" xr:uid="{00000000-0004-0000-0200-000034000000}"/>
    <hyperlink ref="I55" r:id="rId54" xr:uid="{00000000-0004-0000-0200-000035000000}"/>
    <hyperlink ref="I56" r:id="rId55" xr:uid="{00000000-0004-0000-0200-000036000000}"/>
    <hyperlink ref="I57" r:id="rId56" xr:uid="{00000000-0004-0000-0200-000037000000}"/>
    <hyperlink ref="I58" r:id="rId57" xr:uid="{00000000-0004-0000-0200-000038000000}"/>
    <hyperlink ref="I59" r:id="rId58" xr:uid="{00000000-0004-0000-0200-000039000000}"/>
    <hyperlink ref="I60" r:id="rId59" xr:uid="{00000000-0004-0000-0200-00003A000000}"/>
    <hyperlink ref="I61" r:id="rId60" xr:uid="{00000000-0004-0000-0200-00003B000000}"/>
    <hyperlink ref="I62" r:id="rId61" xr:uid="{00000000-0004-0000-0200-00003C000000}"/>
    <hyperlink ref="I63" r:id="rId62" xr:uid="{00000000-0004-0000-0200-00003D000000}"/>
    <hyperlink ref="I64" r:id="rId63" xr:uid="{00000000-0004-0000-0200-00003E000000}"/>
    <hyperlink ref="I65" r:id="rId64" xr:uid="{00000000-0004-0000-0200-00003F000000}"/>
    <hyperlink ref="I66" r:id="rId65" xr:uid="{00000000-0004-0000-0200-000040000000}"/>
    <hyperlink ref="I67" r:id="rId66" xr:uid="{00000000-0004-0000-0200-000041000000}"/>
    <hyperlink ref="I68" r:id="rId67" xr:uid="{00000000-0004-0000-0200-000042000000}"/>
    <hyperlink ref="I69" r:id="rId68" xr:uid="{00000000-0004-0000-0200-000043000000}"/>
    <hyperlink ref="I70" r:id="rId69" xr:uid="{00000000-0004-0000-0200-000044000000}"/>
    <hyperlink ref="I71" r:id="rId70" xr:uid="{00000000-0004-0000-0200-000045000000}"/>
    <hyperlink ref="I72" r:id="rId71" xr:uid="{00000000-0004-0000-0200-000046000000}"/>
    <hyperlink ref="I73" r:id="rId72" xr:uid="{00000000-0004-0000-0200-000047000000}"/>
    <hyperlink ref="I74" r:id="rId73" xr:uid="{00000000-0004-0000-0200-000048000000}"/>
    <hyperlink ref="I75" r:id="rId74" xr:uid="{00000000-0004-0000-0200-000049000000}"/>
    <hyperlink ref="I76" r:id="rId75" xr:uid="{00000000-0004-0000-0200-00004A000000}"/>
    <hyperlink ref="I77" r:id="rId76" xr:uid="{00000000-0004-0000-0200-00004B000000}"/>
    <hyperlink ref="I78" r:id="rId77" xr:uid="{00000000-0004-0000-0200-00004C000000}"/>
    <hyperlink ref="I79" r:id="rId78" xr:uid="{00000000-0004-0000-0200-00004D000000}"/>
    <hyperlink ref="I80" r:id="rId79" xr:uid="{00000000-0004-0000-0200-00004E000000}"/>
    <hyperlink ref="I81" r:id="rId80" xr:uid="{00000000-0004-0000-0200-00004F000000}"/>
    <hyperlink ref="I82" r:id="rId81" xr:uid="{00000000-0004-0000-0200-000050000000}"/>
    <hyperlink ref="I83" r:id="rId82" xr:uid="{00000000-0004-0000-0200-000051000000}"/>
    <hyperlink ref="I84" r:id="rId83" xr:uid="{00000000-0004-0000-0200-000052000000}"/>
    <hyperlink ref="I85" r:id="rId84" xr:uid="{00000000-0004-0000-0200-000053000000}"/>
    <hyperlink ref="I86" r:id="rId85" xr:uid="{00000000-0004-0000-0200-000054000000}"/>
    <hyperlink ref="I87" r:id="rId86" xr:uid="{00000000-0004-0000-0200-000055000000}"/>
    <hyperlink ref="I88" r:id="rId87" xr:uid="{00000000-0004-0000-0200-000056000000}"/>
    <hyperlink ref="I89" r:id="rId88" xr:uid="{00000000-0004-0000-0200-00005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5" customWidth="1"/>
    <col min="2" max="2" width="22" customWidth="1"/>
    <col min="3" max="3" width="44" customWidth="1"/>
    <col min="4" max="4" width="20" customWidth="1"/>
    <col min="5" max="5" width="46" customWidth="1"/>
    <col min="6" max="6" width="16" customWidth="1"/>
    <col min="7" max="7" width="20" customWidth="1"/>
    <col min="8" max="8" width="34" customWidth="1"/>
  </cols>
  <sheetData>
    <row r="1" spans="1:8" ht="33.75" customHeight="1" x14ac:dyDescent="0.35">
      <c r="A1" s="5" t="s">
        <v>25</v>
      </c>
      <c r="B1" s="5" t="s">
        <v>630</v>
      </c>
      <c r="C1" s="5" t="s">
        <v>29</v>
      </c>
      <c r="D1" s="5" t="s">
        <v>631</v>
      </c>
      <c r="E1" s="5" t="s">
        <v>632</v>
      </c>
      <c r="F1" s="5" t="s">
        <v>17</v>
      </c>
      <c r="G1" s="5" t="s">
        <v>633</v>
      </c>
      <c r="H1" s="5" t="s">
        <v>11</v>
      </c>
    </row>
    <row r="2" spans="1:8" ht="39" customHeight="1" x14ac:dyDescent="0.35">
      <c r="A2" s="6">
        <v>1</v>
      </c>
      <c r="B2" s="6" t="s">
        <v>634</v>
      </c>
      <c r="C2" s="6" t="s">
        <v>635</v>
      </c>
      <c r="D2" s="6" t="s">
        <v>636</v>
      </c>
      <c r="E2" s="6" t="s">
        <v>637</v>
      </c>
      <c r="F2" s="7" t="s">
        <v>134</v>
      </c>
      <c r="G2" s="8" t="s">
        <v>14</v>
      </c>
      <c r="H2" s="8" t="s">
        <v>638</v>
      </c>
    </row>
    <row r="3" spans="1:8" ht="39" customHeight="1" x14ac:dyDescent="0.35">
      <c r="A3" s="6">
        <v>2</v>
      </c>
      <c r="B3" s="6" t="s">
        <v>639</v>
      </c>
      <c r="C3" s="6" t="s">
        <v>640</v>
      </c>
      <c r="D3" s="6" t="s">
        <v>641</v>
      </c>
      <c r="E3" s="6" t="s">
        <v>642</v>
      </c>
      <c r="F3" s="7" t="s">
        <v>134</v>
      </c>
      <c r="G3" s="8" t="s">
        <v>14</v>
      </c>
      <c r="H3" s="8" t="s">
        <v>643</v>
      </c>
    </row>
    <row r="4" spans="1:8" ht="39" customHeight="1" x14ac:dyDescent="0.35">
      <c r="A4" s="6">
        <v>3</v>
      </c>
      <c r="B4" s="6" t="s">
        <v>644</v>
      </c>
      <c r="C4" s="6" t="s">
        <v>645</v>
      </c>
      <c r="D4" s="6" t="s">
        <v>554</v>
      </c>
      <c r="E4" s="6" t="s">
        <v>646</v>
      </c>
      <c r="F4" s="7" t="s">
        <v>134</v>
      </c>
      <c r="G4" s="8" t="s">
        <v>14</v>
      </c>
      <c r="H4" s="8" t="s">
        <v>647</v>
      </c>
    </row>
    <row r="5" spans="1:8" ht="39" customHeight="1" x14ac:dyDescent="0.35">
      <c r="A5" s="6">
        <v>4</v>
      </c>
      <c r="B5" s="6" t="s">
        <v>648</v>
      </c>
      <c r="C5" s="6" t="s">
        <v>649</v>
      </c>
      <c r="D5" s="6" t="s">
        <v>650</v>
      </c>
      <c r="E5" s="6" t="s">
        <v>651</v>
      </c>
      <c r="F5" s="7" t="s">
        <v>134</v>
      </c>
      <c r="G5" s="8" t="s">
        <v>14</v>
      </c>
      <c r="H5" s="8" t="s">
        <v>652</v>
      </c>
    </row>
    <row r="6" spans="1:8" ht="39" customHeight="1" x14ac:dyDescent="0.35">
      <c r="A6" s="6">
        <v>5</v>
      </c>
      <c r="B6" s="6" t="s">
        <v>653</v>
      </c>
      <c r="C6" s="6" t="s">
        <v>654</v>
      </c>
      <c r="D6" s="6" t="s">
        <v>340</v>
      </c>
      <c r="E6" s="6" t="s">
        <v>655</v>
      </c>
      <c r="F6" s="7" t="s">
        <v>134</v>
      </c>
      <c r="G6" s="8" t="s">
        <v>14</v>
      </c>
      <c r="H6" s="8" t="s">
        <v>656</v>
      </c>
    </row>
    <row r="7" spans="1:8" ht="39" customHeight="1" x14ac:dyDescent="0.35">
      <c r="A7" s="6">
        <v>6</v>
      </c>
      <c r="B7" s="6" t="s">
        <v>657</v>
      </c>
      <c r="C7" s="6" t="s">
        <v>658</v>
      </c>
      <c r="D7" s="6" t="s">
        <v>659</v>
      </c>
      <c r="E7" s="6" t="s">
        <v>660</v>
      </c>
      <c r="F7" s="7" t="s">
        <v>134</v>
      </c>
      <c r="G7" s="8" t="s">
        <v>14</v>
      </c>
      <c r="H7" s="8" t="s">
        <v>661</v>
      </c>
    </row>
    <row r="8" spans="1:8" ht="39" customHeight="1" x14ac:dyDescent="0.35">
      <c r="A8" s="6">
        <v>7</v>
      </c>
      <c r="B8" s="6" t="s">
        <v>662</v>
      </c>
      <c r="C8" s="6" t="s">
        <v>663</v>
      </c>
      <c r="D8" s="6" t="s">
        <v>664</v>
      </c>
      <c r="E8" s="6" t="s">
        <v>660</v>
      </c>
      <c r="F8" s="7" t="s">
        <v>134</v>
      </c>
      <c r="G8" s="8" t="s">
        <v>14</v>
      </c>
      <c r="H8" s="8" t="s">
        <v>665</v>
      </c>
    </row>
    <row r="9" spans="1:8" ht="39" customHeight="1" x14ac:dyDescent="0.35">
      <c r="A9" s="6">
        <v>8</v>
      </c>
      <c r="B9" s="6" t="s">
        <v>666</v>
      </c>
      <c r="C9" s="6" t="s">
        <v>667</v>
      </c>
      <c r="D9" s="6" t="s">
        <v>668</v>
      </c>
      <c r="E9" s="6" t="s">
        <v>669</v>
      </c>
      <c r="F9" s="7" t="s">
        <v>134</v>
      </c>
      <c r="G9" s="8" t="s">
        <v>14</v>
      </c>
      <c r="H9" s="8" t="s">
        <v>670</v>
      </c>
    </row>
    <row r="10" spans="1:8" ht="39" customHeight="1" x14ac:dyDescent="0.35">
      <c r="A10" s="6">
        <v>9</v>
      </c>
      <c r="B10" s="6" t="s">
        <v>671</v>
      </c>
      <c r="C10" s="6" t="s">
        <v>672</v>
      </c>
      <c r="D10" s="6" t="s">
        <v>673</v>
      </c>
      <c r="E10" s="6" t="s">
        <v>642</v>
      </c>
      <c r="F10" s="7" t="s">
        <v>134</v>
      </c>
      <c r="G10" s="8" t="s">
        <v>14</v>
      </c>
      <c r="H10" s="8" t="s">
        <v>674</v>
      </c>
    </row>
    <row r="11" spans="1:8" ht="39" customHeight="1" x14ac:dyDescent="0.35">
      <c r="A11" s="6">
        <v>10</v>
      </c>
      <c r="B11" s="6" t="s">
        <v>675</v>
      </c>
      <c r="C11" s="6" t="s">
        <v>676</v>
      </c>
      <c r="D11" s="6" t="s">
        <v>582</v>
      </c>
      <c r="E11" s="6" t="s">
        <v>677</v>
      </c>
      <c r="F11" s="7" t="s">
        <v>134</v>
      </c>
      <c r="G11" s="8" t="s">
        <v>14</v>
      </c>
      <c r="H11" s="8" t="s">
        <v>678</v>
      </c>
    </row>
    <row r="12" spans="1:8" ht="39" customHeight="1" x14ac:dyDescent="0.35">
      <c r="A12" s="6">
        <v>11</v>
      </c>
      <c r="B12" s="6" t="s">
        <v>679</v>
      </c>
      <c r="C12" s="6" t="s">
        <v>680</v>
      </c>
      <c r="D12" s="6" t="s">
        <v>681</v>
      </c>
      <c r="E12" s="6" t="s">
        <v>642</v>
      </c>
      <c r="F12" s="7" t="s">
        <v>134</v>
      </c>
      <c r="G12" s="8" t="s">
        <v>14</v>
      </c>
      <c r="H12" s="8" t="s">
        <v>682</v>
      </c>
    </row>
    <row r="13" spans="1:8" ht="39" customHeight="1" x14ac:dyDescent="0.35">
      <c r="A13" s="6">
        <v>12</v>
      </c>
      <c r="B13" s="6" t="s">
        <v>683</v>
      </c>
      <c r="C13" s="6" t="s">
        <v>684</v>
      </c>
      <c r="D13" s="6" t="s">
        <v>685</v>
      </c>
      <c r="E13" s="6" t="s">
        <v>660</v>
      </c>
      <c r="F13" s="7" t="s">
        <v>134</v>
      </c>
      <c r="G13" s="8" t="s">
        <v>14</v>
      </c>
      <c r="H13" s="8" t="s">
        <v>686</v>
      </c>
    </row>
    <row r="14" spans="1:8" ht="26.25" customHeight="1" x14ac:dyDescent="0.35">
      <c r="A14" s="6">
        <v>13</v>
      </c>
      <c r="B14" s="6" t="s">
        <v>687</v>
      </c>
      <c r="C14" s="6" t="s">
        <v>688</v>
      </c>
      <c r="D14" s="6" t="s">
        <v>689</v>
      </c>
      <c r="E14" s="6" t="s">
        <v>660</v>
      </c>
      <c r="F14" s="7" t="s">
        <v>134</v>
      </c>
      <c r="G14" s="8" t="s">
        <v>14</v>
      </c>
      <c r="H14" s="8" t="s">
        <v>690</v>
      </c>
    </row>
    <row r="15" spans="1:8" ht="26.25" customHeight="1" x14ac:dyDescent="0.35">
      <c r="A15" s="6">
        <v>14</v>
      </c>
      <c r="B15" s="6" t="s">
        <v>691</v>
      </c>
      <c r="C15" s="6" t="s">
        <v>692</v>
      </c>
      <c r="D15" s="6" t="s">
        <v>693</v>
      </c>
      <c r="E15" s="6" t="s">
        <v>694</v>
      </c>
      <c r="F15" s="7" t="s">
        <v>134</v>
      </c>
      <c r="G15" s="8" t="s">
        <v>14</v>
      </c>
      <c r="H15" s="8" t="s">
        <v>695</v>
      </c>
    </row>
    <row r="16" spans="1:8" ht="39" customHeight="1" x14ac:dyDescent="0.35">
      <c r="A16" s="6">
        <v>15</v>
      </c>
      <c r="B16" s="6" t="s">
        <v>696</v>
      </c>
      <c r="C16" s="6" t="s">
        <v>697</v>
      </c>
      <c r="D16" s="6" t="s">
        <v>698</v>
      </c>
      <c r="E16" s="6" t="s">
        <v>637</v>
      </c>
      <c r="F16" s="7" t="s">
        <v>134</v>
      </c>
      <c r="G16" s="8" t="s">
        <v>14</v>
      </c>
      <c r="H16" s="8" t="s">
        <v>638</v>
      </c>
    </row>
    <row r="17" spans="1:8" ht="26.25" customHeight="1" x14ac:dyDescent="0.35">
      <c r="A17" s="6">
        <v>16</v>
      </c>
      <c r="B17" s="6" t="s">
        <v>699</v>
      </c>
      <c r="C17" s="6" t="s">
        <v>700</v>
      </c>
      <c r="D17" s="6" t="s">
        <v>701</v>
      </c>
      <c r="E17" s="6" t="s">
        <v>637</v>
      </c>
      <c r="F17" s="7" t="s">
        <v>134</v>
      </c>
      <c r="G17" s="8" t="s">
        <v>14</v>
      </c>
      <c r="H17" s="8" t="s">
        <v>638</v>
      </c>
    </row>
    <row r="18" spans="1:8" ht="26.25" customHeight="1" x14ac:dyDescent="0.35">
      <c r="A18" s="6">
        <v>17</v>
      </c>
      <c r="B18" s="6" t="s">
        <v>702</v>
      </c>
      <c r="C18" s="6" t="s">
        <v>703</v>
      </c>
      <c r="D18" s="6" t="s">
        <v>704</v>
      </c>
      <c r="E18" s="6" t="s">
        <v>637</v>
      </c>
      <c r="F18" s="7" t="s">
        <v>134</v>
      </c>
      <c r="G18" s="8" t="s">
        <v>14</v>
      </c>
      <c r="H18" s="8" t="s">
        <v>705</v>
      </c>
    </row>
    <row r="19" spans="1:8" ht="26.25" customHeight="1" x14ac:dyDescent="0.35">
      <c r="A19" s="6">
        <v>18</v>
      </c>
      <c r="B19" s="6" t="s">
        <v>706</v>
      </c>
      <c r="C19" s="6" t="s">
        <v>707</v>
      </c>
      <c r="D19" s="6" t="s">
        <v>708</v>
      </c>
      <c r="E19" s="6" t="s">
        <v>642</v>
      </c>
      <c r="F19" s="7" t="s">
        <v>134</v>
      </c>
      <c r="G19" s="8" t="s">
        <v>14</v>
      </c>
      <c r="H19" s="8" t="s">
        <v>709</v>
      </c>
    </row>
    <row r="20" spans="1:8" ht="26.25" customHeight="1" x14ac:dyDescent="0.35">
      <c r="A20" s="6">
        <v>19</v>
      </c>
      <c r="B20" s="6" t="s">
        <v>710</v>
      </c>
      <c r="C20" s="6" t="s">
        <v>711</v>
      </c>
      <c r="D20" s="6" t="s">
        <v>712</v>
      </c>
      <c r="E20" s="6" t="s">
        <v>646</v>
      </c>
      <c r="F20" s="7" t="s">
        <v>134</v>
      </c>
      <c r="G20" s="8" t="s">
        <v>14</v>
      </c>
      <c r="H20" s="8" t="s">
        <v>713</v>
      </c>
    </row>
    <row r="21" spans="1:8" ht="26.25" customHeight="1" x14ac:dyDescent="0.35">
      <c r="A21" s="6">
        <v>20</v>
      </c>
      <c r="B21" s="6" t="s">
        <v>714</v>
      </c>
      <c r="C21" s="6" t="s">
        <v>715</v>
      </c>
      <c r="D21" s="6" t="s">
        <v>450</v>
      </c>
      <c r="E21" s="6" t="s">
        <v>716</v>
      </c>
      <c r="F21" s="7" t="s">
        <v>134</v>
      </c>
      <c r="G21" s="8" t="s">
        <v>14</v>
      </c>
      <c r="H21" s="8" t="s">
        <v>717</v>
      </c>
    </row>
    <row r="22" spans="1:8" ht="26.25" customHeight="1" x14ac:dyDescent="0.35">
      <c r="A22" s="6">
        <v>21</v>
      </c>
      <c r="B22" s="6" t="s">
        <v>718</v>
      </c>
      <c r="C22" s="6" t="s">
        <v>719</v>
      </c>
      <c r="D22" s="6" t="s">
        <v>681</v>
      </c>
      <c r="E22" s="6" t="s">
        <v>642</v>
      </c>
      <c r="F22" s="7" t="s">
        <v>134</v>
      </c>
      <c r="G22" s="8" t="s">
        <v>18</v>
      </c>
      <c r="H22" s="8" t="s">
        <v>720</v>
      </c>
    </row>
    <row r="23" spans="1:8" ht="26.25" customHeight="1" x14ac:dyDescent="0.35">
      <c r="A23" s="6">
        <v>22</v>
      </c>
      <c r="B23" s="6" t="s">
        <v>721</v>
      </c>
      <c r="C23" s="6" t="s">
        <v>722</v>
      </c>
      <c r="D23" s="6" t="s">
        <v>723</v>
      </c>
      <c r="E23" s="6" t="s">
        <v>660</v>
      </c>
      <c r="F23" s="7" t="s">
        <v>134</v>
      </c>
      <c r="G23" s="8" t="s">
        <v>14</v>
      </c>
      <c r="H23" s="8" t="s">
        <v>665</v>
      </c>
    </row>
    <row r="24" spans="1:8" ht="15" customHeight="1" x14ac:dyDescent="0.35">
      <c r="A24" s="6">
        <v>23</v>
      </c>
      <c r="B24" s="6" t="s">
        <v>724</v>
      </c>
      <c r="C24" s="6" t="s">
        <v>725</v>
      </c>
      <c r="D24" s="6" t="s">
        <v>187</v>
      </c>
      <c r="E24" s="6" t="s">
        <v>637</v>
      </c>
      <c r="F24" s="7" t="s">
        <v>134</v>
      </c>
      <c r="G24" s="8" t="s">
        <v>14</v>
      </c>
      <c r="H24" s="8" t="s">
        <v>638</v>
      </c>
    </row>
    <row r="25" spans="1:8" ht="26.25" customHeight="1" x14ac:dyDescent="0.35">
      <c r="A25" s="6">
        <v>24</v>
      </c>
      <c r="B25" s="6" t="s">
        <v>726</v>
      </c>
      <c r="C25" s="6" t="s">
        <v>727</v>
      </c>
      <c r="D25" s="6" t="s">
        <v>728</v>
      </c>
      <c r="E25" s="6" t="s">
        <v>651</v>
      </c>
      <c r="F25" s="7" t="s">
        <v>134</v>
      </c>
      <c r="G25" s="8" t="s">
        <v>14</v>
      </c>
      <c r="H25" s="8" t="s">
        <v>729</v>
      </c>
    </row>
    <row r="26" spans="1:8" ht="26.25" customHeight="1" x14ac:dyDescent="0.35">
      <c r="A26" s="6">
        <v>25</v>
      </c>
      <c r="B26" s="6" t="s">
        <v>730</v>
      </c>
      <c r="C26" s="6" t="s">
        <v>731</v>
      </c>
      <c r="D26" s="6" t="s">
        <v>732</v>
      </c>
      <c r="E26" s="6" t="s">
        <v>642</v>
      </c>
      <c r="F26" s="7" t="s">
        <v>134</v>
      </c>
      <c r="G26" s="8" t="s">
        <v>14</v>
      </c>
      <c r="H26" s="8" t="s">
        <v>733</v>
      </c>
    </row>
    <row r="27" spans="1:8" ht="26.25" customHeight="1" x14ac:dyDescent="0.35">
      <c r="A27" s="6">
        <v>26</v>
      </c>
      <c r="B27" s="6" t="s">
        <v>734</v>
      </c>
      <c r="C27" s="6" t="s">
        <v>735</v>
      </c>
      <c r="D27" s="6" t="s">
        <v>736</v>
      </c>
      <c r="E27" s="6" t="s">
        <v>637</v>
      </c>
      <c r="F27" s="7" t="s">
        <v>134</v>
      </c>
      <c r="G27" s="8" t="s">
        <v>14</v>
      </c>
      <c r="H27" s="8" t="s">
        <v>737</v>
      </c>
    </row>
    <row r="28" spans="1:8" ht="26.25" customHeight="1" x14ac:dyDescent="0.35">
      <c r="A28" s="6">
        <v>27</v>
      </c>
      <c r="B28" s="6" t="s">
        <v>738</v>
      </c>
      <c r="C28" s="6" t="s">
        <v>739</v>
      </c>
      <c r="D28" s="6" t="s">
        <v>740</v>
      </c>
      <c r="E28" s="6" t="s">
        <v>637</v>
      </c>
      <c r="F28" s="7" t="s">
        <v>134</v>
      </c>
      <c r="G28" s="8" t="s">
        <v>14</v>
      </c>
      <c r="H28" s="8" t="s">
        <v>741</v>
      </c>
    </row>
    <row r="29" spans="1:8" ht="26.25" customHeight="1" x14ac:dyDescent="0.35">
      <c r="A29" s="6">
        <v>28</v>
      </c>
      <c r="B29" s="6" t="s">
        <v>742</v>
      </c>
      <c r="C29" s="6" t="s">
        <v>743</v>
      </c>
      <c r="D29" s="6" t="s">
        <v>744</v>
      </c>
      <c r="E29" s="6" t="s">
        <v>642</v>
      </c>
      <c r="F29" s="7" t="s">
        <v>134</v>
      </c>
      <c r="G29" s="8" t="s">
        <v>14</v>
      </c>
      <c r="H29" s="8" t="s">
        <v>643</v>
      </c>
    </row>
    <row r="30" spans="1:8" ht="26.25" customHeight="1" x14ac:dyDescent="0.35">
      <c r="A30" s="6">
        <v>29</v>
      </c>
      <c r="B30" s="6" t="s">
        <v>745</v>
      </c>
      <c r="C30" s="6" t="s">
        <v>746</v>
      </c>
      <c r="D30" s="6" t="s">
        <v>747</v>
      </c>
      <c r="E30" s="6" t="s">
        <v>637</v>
      </c>
      <c r="F30" s="7" t="s">
        <v>134</v>
      </c>
      <c r="G30" s="8" t="s">
        <v>14</v>
      </c>
      <c r="H30" s="8" t="s">
        <v>638</v>
      </c>
    </row>
    <row r="31" spans="1:8" ht="26.25" customHeight="1" x14ac:dyDescent="0.35">
      <c r="A31" s="6">
        <v>30</v>
      </c>
      <c r="B31" s="6" t="s">
        <v>748</v>
      </c>
      <c r="C31" s="6" t="s">
        <v>749</v>
      </c>
      <c r="D31" s="6" t="s">
        <v>750</v>
      </c>
      <c r="E31" s="6" t="s">
        <v>642</v>
      </c>
      <c r="F31" s="7" t="s">
        <v>134</v>
      </c>
      <c r="G31" s="8" t="s">
        <v>14</v>
      </c>
      <c r="H31" s="8" t="s">
        <v>674</v>
      </c>
    </row>
  </sheetData>
  <autoFilter ref="A1:H31" xr:uid="{00000000-0009-0000-0000-000003000000}"/>
  <dataValidations count="1">
    <dataValidation type="list" allowBlank="1" sqref="G2:G31" xr:uid="{00000000-0002-0000-0300-000000000000}">
      <formula1>"yes,no"</formula1>
      <formula2>0</formula2>
    </dataValidation>
  </dataValidations>
  <hyperlinks>
    <hyperlink ref="F2" r:id="rId1" xr:uid="{00000000-0004-0000-0300-000000000000}"/>
    <hyperlink ref="F3" r:id="rId2" xr:uid="{00000000-0004-0000-0300-000001000000}"/>
    <hyperlink ref="F4" r:id="rId3" xr:uid="{00000000-0004-0000-0300-000002000000}"/>
    <hyperlink ref="F5" r:id="rId4" xr:uid="{00000000-0004-0000-0300-000003000000}"/>
    <hyperlink ref="F6" r:id="rId5" xr:uid="{00000000-0004-0000-0300-000004000000}"/>
    <hyperlink ref="F7" r:id="rId6" xr:uid="{00000000-0004-0000-0300-000005000000}"/>
    <hyperlink ref="F8" r:id="rId7" xr:uid="{00000000-0004-0000-0300-000006000000}"/>
    <hyperlink ref="F9" r:id="rId8" xr:uid="{00000000-0004-0000-0300-000007000000}"/>
    <hyperlink ref="F10" r:id="rId9" xr:uid="{00000000-0004-0000-0300-000008000000}"/>
    <hyperlink ref="F11" r:id="rId10" xr:uid="{00000000-0004-0000-0300-000009000000}"/>
    <hyperlink ref="F12" r:id="rId11" xr:uid="{00000000-0004-0000-0300-00000A000000}"/>
    <hyperlink ref="F13" r:id="rId12" xr:uid="{00000000-0004-0000-0300-00000B000000}"/>
    <hyperlink ref="F14" r:id="rId13" xr:uid="{00000000-0004-0000-0300-00000C000000}"/>
    <hyperlink ref="F15" r:id="rId14" xr:uid="{00000000-0004-0000-0300-00000D000000}"/>
    <hyperlink ref="F16" r:id="rId15" xr:uid="{00000000-0004-0000-0300-00000E000000}"/>
    <hyperlink ref="F17" r:id="rId16" xr:uid="{00000000-0004-0000-0300-00000F000000}"/>
    <hyperlink ref="F18" r:id="rId17" xr:uid="{00000000-0004-0000-0300-000010000000}"/>
    <hyperlink ref="F19" r:id="rId18" xr:uid="{00000000-0004-0000-0300-000011000000}"/>
    <hyperlink ref="F20" r:id="rId19" xr:uid="{00000000-0004-0000-0300-000012000000}"/>
    <hyperlink ref="F21" r:id="rId20" xr:uid="{00000000-0004-0000-0300-000013000000}"/>
    <hyperlink ref="F22" r:id="rId21" xr:uid="{00000000-0004-0000-0300-000014000000}"/>
    <hyperlink ref="F23" r:id="rId22" xr:uid="{00000000-0004-0000-0300-000015000000}"/>
    <hyperlink ref="F24" r:id="rId23" xr:uid="{00000000-0004-0000-0300-000016000000}"/>
    <hyperlink ref="F25" r:id="rId24" xr:uid="{00000000-0004-0000-0300-000017000000}"/>
    <hyperlink ref="F26" r:id="rId25" xr:uid="{00000000-0004-0000-0300-000018000000}"/>
    <hyperlink ref="F27" r:id="rId26" xr:uid="{00000000-0004-0000-0300-000019000000}"/>
    <hyperlink ref="F28" r:id="rId27" xr:uid="{00000000-0004-0000-0300-00001A000000}"/>
    <hyperlink ref="F29" r:id="rId28" xr:uid="{00000000-0004-0000-0300-00001B000000}"/>
    <hyperlink ref="F30" r:id="rId29" xr:uid="{00000000-0004-0000-0300-00001C000000}"/>
    <hyperlink ref="F31" r:id="rId30" xr:uid="{00000000-0004-0000-0300-00001D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use</vt:lpstr>
      <vt:lpstr>Wikidata</vt:lpstr>
      <vt:lpstr>MKQA kept</vt:lpstr>
      <vt:lpstr>MKQA rejected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Ammar Hafiy Hamdan Kamil</cp:lastModifiedBy>
  <cp:revision>0</cp:revision>
  <dcterms:created xsi:type="dcterms:W3CDTF">2026-10-28T18:43:47Z</dcterms:created>
  <dcterms:modified xsi:type="dcterms:W3CDTF">2026-10-28T20:42:26Z</dcterms:modified>
  <dc:language>en-US</dc:language>
</cp:coreProperties>
</file>